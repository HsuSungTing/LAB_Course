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y\Desktop\iclab\lab05\"/>
    </mc:Choice>
  </mc:AlternateContent>
  <xr:revisionPtr revIDLastSave="0" documentId="13_ncr:1_{BDF97DBE-FF6C-411E-891D-C592DDDFD933}" xr6:coauthVersionLast="36" xr6:coauthVersionMax="36" xr10:uidLastSave="{00000000-0000-0000-0000-000000000000}"/>
  <bookViews>
    <workbookView xWindow="0" yWindow="0" windowWidth="28800" windowHeight="12060" xr2:uid="{CFFBA492-7050-481A-889F-52146AFEDFD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67" i="1" l="1"/>
  <c r="AJ67" i="1"/>
  <c r="AK67" i="1"/>
  <c r="AL67" i="1"/>
  <c r="AI68" i="1"/>
  <c r="AJ68" i="1"/>
  <c r="AK68" i="1"/>
  <c r="AL68" i="1"/>
  <c r="AI69" i="1"/>
  <c r="AJ69" i="1"/>
  <c r="AK69" i="1"/>
  <c r="AL69" i="1"/>
  <c r="AJ66" i="1"/>
  <c r="AK66" i="1"/>
  <c r="AL66" i="1"/>
  <c r="AI66" i="1"/>
  <c r="AI61" i="1"/>
  <c r="AJ61" i="1"/>
  <c r="AK61" i="1"/>
  <c r="AL61" i="1"/>
  <c r="AI62" i="1"/>
  <c r="AJ62" i="1"/>
  <c r="AK62" i="1"/>
  <c r="AL62" i="1"/>
  <c r="AI63" i="1"/>
  <c r="AJ63" i="1"/>
  <c r="AK63" i="1"/>
  <c r="AL63" i="1"/>
  <c r="AJ60" i="1"/>
  <c r="AK60" i="1"/>
  <c r="AL60" i="1"/>
  <c r="AI60" i="1"/>
  <c r="AI55" i="1"/>
  <c r="AJ55" i="1"/>
  <c r="AK55" i="1"/>
  <c r="AL55" i="1"/>
  <c r="AI56" i="1"/>
  <c r="AJ56" i="1"/>
  <c r="AK56" i="1"/>
  <c r="AL56" i="1"/>
  <c r="AI57" i="1"/>
  <c r="AJ57" i="1"/>
  <c r="AK57" i="1"/>
  <c r="AL57" i="1"/>
  <c r="AJ54" i="1"/>
  <c r="AK54" i="1"/>
  <c r="AL54" i="1"/>
  <c r="AI54" i="1"/>
  <c r="AI48" i="1" a="1"/>
  <c r="AI48" i="1" s="1"/>
  <c r="AI42" i="1" a="1"/>
  <c r="AI42" i="1" s="1"/>
  <c r="AI38" i="1"/>
  <c r="AJ38" i="1"/>
  <c r="AK38" i="1"/>
  <c r="AL38" i="1"/>
  <c r="AI39" i="1"/>
  <c r="AJ39" i="1"/>
  <c r="AK39" i="1"/>
  <c r="AL39" i="1"/>
  <c r="AI40" i="1"/>
  <c r="AJ40" i="1"/>
  <c r="AK40" i="1"/>
  <c r="AL40" i="1"/>
  <c r="AJ37" i="1"/>
  <c r="AK37" i="1"/>
  <c r="AL37" i="1"/>
  <c r="AI37" i="1"/>
  <c r="AR33" i="1"/>
  <c r="AR32" i="1"/>
  <c r="AR31" i="1"/>
  <c r="AR30" i="1"/>
  <c r="AQ33" i="1"/>
  <c r="AQ32" i="1"/>
  <c r="AQ31" i="1"/>
  <c r="AQ30" i="1"/>
  <c r="AP33" i="1"/>
  <c r="AP32" i="1"/>
  <c r="AP31" i="1"/>
  <c r="AP30" i="1"/>
  <c r="AO33" i="1"/>
  <c r="AO32" i="1"/>
  <c r="AO31" i="1"/>
  <c r="AO30" i="1"/>
  <c r="AQ27" i="1"/>
  <c r="AR27" i="1"/>
  <c r="AP27" i="1"/>
  <c r="AO27" i="1"/>
  <c r="AO10" i="1"/>
  <c r="AQ10" i="1" s="1"/>
  <c r="AR14" i="1" s="1"/>
  <c r="AL32" i="1" s="1"/>
  <c r="AU10" i="1"/>
  <c r="AS10" i="1"/>
  <c r="AI25" i="1" a="1"/>
  <c r="AI25" i="1" s="1"/>
  <c r="AI19" i="1" a="1"/>
  <c r="AJ19" i="1" s="1"/>
  <c r="AI19" i="1"/>
  <c r="AL19" i="1"/>
  <c r="AI20" i="1"/>
  <c r="AK20" i="1"/>
  <c r="AL20" i="1"/>
  <c r="AI21" i="1"/>
  <c r="AJ21" i="1"/>
  <c r="AK21" i="1"/>
  <c r="AL21" i="1"/>
  <c r="AI22" i="1"/>
  <c r="AJ22" i="1"/>
  <c r="AK22" i="1"/>
  <c r="AL22" i="1"/>
  <c r="AI15" i="1"/>
  <c r="AJ15" i="1"/>
  <c r="AK15" i="1"/>
  <c r="AL15" i="1"/>
  <c r="AI16" i="1"/>
  <c r="AJ16" i="1"/>
  <c r="AK16" i="1"/>
  <c r="AL16" i="1"/>
  <c r="AI17" i="1"/>
  <c r="AJ17" i="1"/>
  <c r="AK17" i="1"/>
  <c r="AL17" i="1"/>
  <c r="AJ14" i="1"/>
  <c r="AK14" i="1"/>
  <c r="AL14" i="1"/>
  <c r="AI14" i="1"/>
  <c r="B38" i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37" i="1"/>
  <c r="C18" i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R2" i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L49" i="1" l="1"/>
  <c r="AJ49" i="1"/>
  <c r="AI49" i="1"/>
  <c r="AL50" i="1"/>
  <c r="AL48" i="1"/>
  <c r="AK50" i="1"/>
  <c r="AK48" i="1"/>
  <c r="AL51" i="1"/>
  <c r="AK51" i="1"/>
  <c r="AK49" i="1"/>
  <c r="AJ51" i="1"/>
  <c r="AI51" i="1"/>
  <c r="AJ50" i="1"/>
  <c r="AJ48" i="1"/>
  <c r="AI50" i="1"/>
  <c r="AK45" i="1"/>
  <c r="AJ43" i="1"/>
  <c r="AL42" i="1"/>
  <c r="AK43" i="1"/>
  <c r="AJ45" i="1"/>
  <c r="AK44" i="1"/>
  <c r="AK42" i="1"/>
  <c r="AL43" i="1"/>
  <c r="AJ44" i="1"/>
  <c r="AJ42" i="1"/>
  <c r="AL45" i="1"/>
  <c r="AI45" i="1"/>
  <c r="AI43" i="1"/>
  <c r="AL44" i="1"/>
  <c r="AI44" i="1"/>
  <c r="AP10" i="1"/>
  <c r="AQ13" i="1" s="1"/>
  <c r="AK31" i="1" s="1"/>
  <c r="AR10" i="1"/>
  <c r="AR13" i="1" s="1"/>
  <c r="AL31" i="1" s="1"/>
  <c r="AP16" i="1"/>
  <c r="AJ34" i="1" s="1"/>
  <c r="AR16" i="1"/>
  <c r="AL34" i="1" s="1"/>
  <c r="AO14" i="1"/>
  <c r="AI32" i="1" s="1"/>
  <c r="AQ14" i="1"/>
  <c r="AK32" i="1" s="1"/>
  <c r="AQ16" i="1"/>
  <c r="AK34" i="1" s="1"/>
  <c r="AP13" i="1"/>
  <c r="AJ31" i="1" s="1"/>
  <c r="AP14" i="1"/>
  <c r="AJ32" i="1" s="1"/>
  <c r="AJ27" i="1"/>
  <c r="AJ25" i="1"/>
  <c r="AI27" i="1"/>
  <c r="AL26" i="1"/>
  <c r="AL28" i="1"/>
  <c r="AK28" i="1"/>
  <c r="AK26" i="1"/>
  <c r="AJ28" i="1"/>
  <c r="AJ26" i="1"/>
  <c r="AI28" i="1"/>
  <c r="AI26" i="1"/>
  <c r="AL27" i="1"/>
  <c r="AL25" i="1"/>
  <c r="AK27" i="1"/>
  <c r="AK25" i="1"/>
  <c r="AJ20" i="1"/>
  <c r="AK19" i="1"/>
  <c r="B18" i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AO16" i="1" l="1"/>
  <c r="AI34" i="1" s="1"/>
  <c r="AP15" i="1"/>
  <c r="AJ33" i="1" s="1"/>
  <c r="AO13" i="1"/>
  <c r="AI31" i="1" s="1"/>
  <c r="AQ15" i="1"/>
  <c r="AK33" i="1" s="1"/>
  <c r="AO15" i="1"/>
  <c r="AI33" i="1" s="1"/>
  <c r="AR15" i="1"/>
  <c r="AL33" i="1" s="1"/>
  <c r="D18" i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F18" i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E18" i="1" l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G18" i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H18" i="1" l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I18" i="1" l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J18" i="1" l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K18" i="1" l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L18" i="1" l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M18" i="1" l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N18" i="1" l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O18" i="1" l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P18" i="1" l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R3" i="1" l="1"/>
  <c r="Q18" i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S3" i="1" l="1"/>
  <c r="R4" i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T3" i="1" l="1"/>
  <c r="S4" i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U3" i="1" l="1"/>
  <c r="T4" i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V3" i="1" l="1"/>
  <c r="U4" i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W3" i="1" l="1"/>
  <c r="V4" i="1"/>
  <c r="V5" i="1" s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X3" i="1" l="1"/>
  <c r="W4" i="1"/>
  <c r="W5" i="1" s="1"/>
  <c r="W6" i="1" s="1"/>
  <c r="W7" i="1" s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Y3" i="1" l="1"/>
  <c r="X4" i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Z3" i="1" l="1"/>
  <c r="Y4" i="1"/>
  <c r="Y5" i="1" s="1"/>
  <c r="Y6" i="1" s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AA3" i="1" l="1"/>
  <c r="Z4" i="1"/>
  <c r="Z5" i="1" s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AB3" i="1" l="1"/>
  <c r="AA4" i="1"/>
  <c r="AA5" i="1" s="1"/>
  <c r="AA6" i="1" s="1"/>
  <c r="AA7" i="1" s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C3" i="1" l="1"/>
  <c r="AB4" i="1"/>
  <c r="AB5" i="1" s="1"/>
  <c r="AB6" i="1" s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D3" i="1" l="1"/>
  <c r="AC4" i="1"/>
  <c r="AC5" i="1" s="1"/>
  <c r="AC6" i="1" s="1"/>
  <c r="AC7" i="1" s="1"/>
  <c r="AC8" i="1" s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E3" i="1" l="1"/>
  <c r="AD4" i="1"/>
  <c r="AD5" i="1" s="1"/>
  <c r="AD6" i="1" s="1"/>
  <c r="AD7" i="1" s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F3" i="1" l="1"/>
  <c r="AE4" i="1"/>
  <c r="AE5" i="1" s="1"/>
  <c r="AE6" i="1" s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G3" i="1" l="1"/>
  <c r="AG4" i="1" s="1"/>
  <c r="AG5" i="1" s="1"/>
  <c r="AG6" i="1" s="1"/>
  <c r="AG7" i="1" s="1"/>
  <c r="AG8" i="1" s="1"/>
  <c r="AG9" i="1" s="1"/>
  <c r="AG10" i="1" s="1"/>
  <c r="AG11" i="1" s="1"/>
  <c r="AG12" i="1" s="1"/>
  <c r="AG13" i="1" s="1"/>
  <c r="AG14" i="1" s="1"/>
  <c r="AG15" i="1" s="1"/>
  <c r="AG16" i="1" s="1"/>
  <c r="AG17" i="1" s="1"/>
  <c r="AG18" i="1" s="1"/>
  <c r="AG19" i="1" s="1"/>
  <c r="AG20" i="1" s="1"/>
  <c r="AG21" i="1" s="1"/>
  <c r="AG22" i="1" s="1"/>
  <c r="AG23" i="1" s="1"/>
  <c r="AG24" i="1" s="1"/>
  <c r="AG25" i="1" s="1"/>
  <c r="AG26" i="1" s="1"/>
  <c r="AG27" i="1" s="1"/>
  <c r="AG28" i="1" s="1"/>
  <c r="AG29" i="1" s="1"/>
  <c r="AG30" i="1" s="1"/>
  <c r="AG31" i="1" s="1"/>
  <c r="AG32" i="1" s="1"/>
  <c r="AG33" i="1" s="1"/>
  <c r="AF4" i="1"/>
  <c r="AF5" i="1" s="1"/>
  <c r="AF6" i="1" s="1"/>
  <c r="AF7" i="1" s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</calcChain>
</file>

<file path=xl/sharedStrings.xml><?xml version="1.0" encoding="utf-8"?>
<sst xmlns="http://schemas.openxmlformats.org/spreadsheetml/2006/main" count="40" uniqueCount="30">
  <si>
    <t>mem address</t>
    <phoneticPr fontId="1" type="noConversion"/>
  </si>
  <si>
    <t>reg address</t>
    <phoneticPr fontId="1" type="noConversion"/>
  </si>
  <si>
    <t>Cf</t>
    <phoneticPr fontId="1" type="noConversion"/>
  </si>
  <si>
    <t>pred</t>
    <phoneticPr fontId="1" type="noConversion"/>
  </si>
  <si>
    <t>target</t>
    <phoneticPr fontId="1" type="noConversion"/>
  </si>
  <si>
    <t>residual</t>
    <phoneticPr fontId="1" type="noConversion"/>
  </si>
  <si>
    <t>W</t>
    <phoneticPr fontId="1" type="noConversion"/>
  </si>
  <si>
    <t>QP</t>
    <phoneticPr fontId="1" type="noConversion"/>
  </si>
  <si>
    <t>MFTABLE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</si>
  <si>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</si>
  <si>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</si>
  <si>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</si>
  <si>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FTABLE</t>
    <phoneticPr fontId="1" type="noConversion"/>
  </si>
  <si>
    <t>0-5</t>
    <phoneticPr fontId="1" type="noConversion"/>
  </si>
  <si>
    <t>6-11</t>
    <phoneticPr fontId="1" type="noConversion"/>
  </si>
  <si>
    <t>12-17</t>
    <phoneticPr fontId="1" type="noConversion"/>
  </si>
  <si>
    <t>18-23</t>
    <phoneticPr fontId="1" type="noConversion"/>
  </si>
  <si>
    <t>24-29</t>
    <phoneticPr fontId="1" type="noConversion"/>
  </si>
  <si>
    <t>QP % 6</t>
    <phoneticPr fontId="1" type="noConversion"/>
  </si>
  <si>
    <t>f</t>
    <phoneticPr fontId="1" type="noConversion"/>
  </si>
  <si>
    <t>Z</t>
    <phoneticPr fontId="1" type="noConversion"/>
  </si>
  <si>
    <t>qbits</t>
    <phoneticPr fontId="1" type="noConversion"/>
  </si>
  <si>
    <t>MF</t>
    <phoneticPr fontId="1" type="noConversion"/>
  </si>
  <si>
    <t>W'</t>
    <phoneticPr fontId="1" type="noConversion"/>
  </si>
  <si>
    <t>VTABLE</t>
    <phoneticPr fontId="1" type="noConversion"/>
  </si>
  <si>
    <t>V</t>
    <phoneticPr fontId="1" type="noConversion"/>
  </si>
  <si>
    <t>Y</t>
    <phoneticPr fontId="1" type="noConversion"/>
  </si>
  <si>
    <t>X'</t>
    <phoneticPr fontId="1" type="noConversion"/>
  </si>
  <si>
    <t>R before norm</t>
    <phoneticPr fontId="1" type="noConversion"/>
  </si>
  <si>
    <t>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</si>
</sst>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2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5" borderId="2" xfId="0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2" xfId="0" applyFill="1" applyBorder="1">
      <alignment vertical="center"/>
    </xf>
    <xf numFmtId="0" fontId="0" fillId="7" borderId="2" xfId="0" applyFill="1" applyBorder="1">
      <alignment vertical="center"/>
    </xf>
    <xf numFmtId="0" fontId="0" fillId="8" borderId="2" xfId="0" applyFill="1" applyBorder="1">
      <alignment vertical="center"/>
    </xf>
    <xf numFmtId="0" fontId="0" fillId="7" borderId="0" xfId="0" applyFill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0" xfId="0" applyFill="1">
      <alignment vertical="center"/>
    </xf>
    <xf numFmtId="0" fontId="0" fillId="10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>
      <alignment vertical="center"/>
    </xf>
    <xf numFmtId="0" fontId="0" fillId="13" borderId="0" xfId="0" applyFill="1" applyAlignment="1">
      <alignment horizontal="center" vertical="center"/>
    </xf>
    <xf numFmtId="0" fontId="0" fillId="13" borderId="0" xfId="0" applyFill="1">
      <alignment vertical="center"/>
    </xf>
    <xf numFmtId="0" fontId="0" fillId="14" borderId="0" xfId="0" applyFill="1" applyAlignment="1">
      <alignment horizontal="center" vertical="center"/>
    </xf>
    <xf numFmtId="0" fontId="0" fillId="14" borderId="0" xfId="0" applyFill="1">
      <alignment vertical="center"/>
    </xf>
    <xf numFmtId="0" fontId="0" fillId="15" borderId="0" xfId="0" applyFill="1" applyAlignment="1">
      <alignment horizontal="center" vertical="center"/>
    </xf>
    <xf numFmtId="0" fontId="0" fillId="15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E1A3-7FCD-45C5-B7D5-8FE6ADAFD7C9}">
  <dimension ref="A1:AU87"/>
  <sheetViews>
    <sheetView tabSelected="1" topLeftCell="R34" workbookViewId="0">
      <selection activeCell="AN65" sqref="AN65"/>
    </sheetView>
  </sheetViews>
  <sheetFormatPr defaultRowHeight="16.5" x14ac:dyDescent="0.25"/>
  <cols>
    <col min="1" max="33" width="4.625" customWidth="1"/>
  </cols>
  <sheetData>
    <row r="1" spans="2:47" x14ac:dyDescent="0.25">
      <c r="AI1" t="s">
        <v>2</v>
      </c>
      <c r="AO1" s="30" t="s">
        <v>8</v>
      </c>
      <c r="AP1" s="30"/>
      <c r="AQ1" s="30"/>
      <c r="AR1" s="30"/>
      <c r="AS1" s="32" t="s">
        <v>12</v>
      </c>
      <c r="AT1" s="32"/>
      <c r="AU1" s="16"/>
    </row>
    <row r="2" spans="2:47" x14ac:dyDescent="0.25">
      <c r="B2">
        <v>6</v>
      </c>
      <c r="C2">
        <v>5</v>
      </c>
      <c r="D2">
        <v>13</v>
      </c>
      <c r="E2">
        <v>11</v>
      </c>
      <c r="F2">
        <v>3</v>
      </c>
      <c r="G2">
        <v>14</v>
      </c>
      <c r="H2">
        <v>1</v>
      </c>
      <c r="I2">
        <v>14</v>
      </c>
      <c r="J2">
        <v>4</v>
      </c>
      <c r="K2">
        <v>12</v>
      </c>
      <c r="L2">
        <v>1</v>
      </c>
      <c r="M2">
        <v>1</v>
      </c>
      <c r="N2">
        <v>9</v>
      </c>
      <c r="O2">
        <v>13</v>
      </c>
      <c r="P2">
        <v>12</v>
      </c>
      <c r="Q2">
        <v>7</v>
      </c>
      <c r="R2" s="1">
        <f>MOD(Q2+1, 256)</f>
        <v>8</v>
      </c>
      <c r="S2" s="1">
        <f>MOD(R2+1, 256)</f>
        <v>9</v>
      </c>
      <c r="T2" s="1">
        <f>MOD(S2+1, 256)</f>
        <v>10</v>
      </c>
      <c r="U2" s="1">
        <f>MOD(T2+1, 256)</f>
        <v>11</v>
      </c>
      <c r="V2" s="1">
        <f>MOD(U2+1, 256)</f>
        <v>12</v>
      </c>
      <c r="W2" s="1">
        <f>MOD(V2+1, 256)</f>
        <v>13</v>
      </c>
      <c r="X2" s="1">
        <f>MOD(W2+1, 256)</f>
        <v>14</v>
      </c>
      <c r="Y2" s="1">
        <f>MOD(X2+1, 256)</f>
        <v>15</v>
      </c>
      <c r="Z2" s="1">
        <f>MOD(Y2+1, 256)</f>
        <v>16</v>
      </c>
      <c r="AA2" s="1">
        <f>MOD(Z2+1, 256)</f>
        <v>17</v>
      </c>
      <c r="AB2" s="1">
        <f>MOD(AA2+1, 256)</f>
        <v>18</v>
      </c>
      <c r="AC2" s="1">
        <f>MOD(AB2+1, 256)</f>
        <v>19</v>
      </c>
      <c r="AD2" s="1">
        <f>MOD(AC2+1, 256)</f>
        <v>20</v>
      </c>
      <c r="AE2" s="1">
        <f>MOD(AD2+1, 256)</f>
        <v>21</v>
      </c>
      <c r="AF2" s="1">
        <f>MOD(AE2+1, 256)</f>
        <v>22</v>
      </c>
      <c r="AG2" s="1">
        <f>MOD(AF2+1, 256)</f>
        <v>23</v>
      </c>
      <c r="AI2">
        <v>1</v>
      </c>
      <c r="AJ2">
        <v>1</v>
      </c>
      <c r="AK2">
        <v>1</v>
      </c>
      <c r="AL2">
        <v>1</v>
      </c>
      <c r="AO2" s="33"/>
      <c r="AP2" s="33" t="s">
        <v>9</v>
      </c>
      <c r="AQ2" s="33" t="s">
        <v>10</v>
      </c>
      <c r="AR2" s="33" t="s">
        <v>11</v>
      </c>
      <c r="AS2" s="34" t="s">
        <v>13</v>
      </c>
      <c r="AT2" s="35">
        <v>10922</v>
      </c>
      <c r="AU2" s="16"/>
    </row>
    <row r="3" spans="2:47" x14ac:dyDescent="0.25">
      <c r="B3">
        <v>3</v>
      </c>
      <c r="C3">
        <v>6</v>
      </c>
      <c r="D3">
        <v>14</v>
      </c>
      <c r="E3">
        <v>10</v>
      </c>
      <c r="F3">
        <v>6</v>
      </c>
      <c r="G3">
        <v>13</v>
      </c>
      <c r="H3">
        <v>2</v>
      </c>
      <c r="I3">
        <v>7</v>
      </c>
      <c r="J3">
        <v>3</v>
      </c>
      <c r="K3">
        <v>12</v>
      </c>
      <c r="L3">
        <v>7</v>
      </c>
      <c r="M3">
        <v>9</v>
      </c>
      <c r="N3">
        <v>9</v>
      </c>
      <c r="O3">
        <v>4</v>
      </c>
      <c r="P3">
        <v>3</v>
      </c>
      <c r="Q3">
        <v>5</v>
      </c>
      <c r="R3" s="1">
        <f t="shared" ref="D3:AG3" si="0">MOD(Q3+1,256)</f>
        <v>6</v>
      </c>
      <c r="S3" s="1">
        <f t="shared" si="0"/>
        <v>7</v>
      </c>
      <c r="T3" s="1">
        <f t="shared" si="0"/>
        <v>8</v>
      </c>
      <c r="U3" s="1">
        <f t="shared" si="0"/>
        <v>9</v>
      </c>
      <c r="V3" s="1">
        <f t="shared" si="0"/>
        <v>10</v>
      </c>
      <c r="W3" s="1">
        <f t="shared" si="0"/>
        <v>11</v>
      </c>
      <c r="X3" s="1">
        <f t="shared" si="0"/>
        <v>12</v>
      </c>
      <c r="Y3" s="1">
        <f t="shared" si="0"/>
        <v>13</v>
      </c>
      <c r="Z3" s="1">
        <f t="shared" si="0"/>
        <v>14</v>
      </c>
      <c r="AA3" s="1">
        <f t="shared" si="0"/>
        <v>15</v>
      </c>
      <c r="AB3" s="1">
        <f t="shared" si="0"/>
        <v>16</v>
      </c>
      <c r="AC3" s="1">
        <f t="shared" si="0"/>
        <v>17</v>
      </c>
      <c r="AD3" s="1">
        <f t="shared" si="0"/>
        <v>18</v>
      </c>
      <c r="AE3" s="1">
        <f t="shared" si="0"/>
        <v>19</v>
      </c>
      <c r="AF3" s="1">
        <f t="shared" si="0"/>
        <v>20</v>
      </c>
      <c r="AG3" s="1">
        <f t="shared" si="0"/>
        <v>21</v>
      </c>
      <c r="AI3">
        <v>1</v>
      </c>
      <c r="AJ3">
        <v>1</v>
      </c>
      <c r="AK3">
        <v>-1</v>
      </c>
      <c r="AL3">
        <v>-1</v>
      </c>
      <c r="AO3" s="33">
        <v>0</v>
      </c>
      <c r="AP3" s="33">
        <v>13107</v>
      </c>
      <c r="AQ3" s="33">
        <v>5243</v>
      </c>
      <c r="AR3" s="33">
        <v>8066</v>
      </c>
      <c r="AS3" s="34" t="s">
        <v>14</v>
      </c>
      <c r="AT3" s="35">
        <v>21845</v>
      </c>
      <c r="AU3" s="16"/>
    </row>
    <row r="4" spans="2:47" x14ac:dyDescent="0.25">
      <c r="B4">
        <v>6</v>
      </c>
      <c r="C4">
        <v>10</v>
      </c>
      <c r="D4">
        <v>12</v>
      </c>
      <c r="E4">
        <v>2</v>
      </c>
      <c r="F4">
        <v>10</v>
      </c>
      <c r="G4">
        <v>13</v>
      </c>
      <c r="H4">
        <v>12</v>
      </c>
      <c r="I4">
        <v>11</v>
      </c>
      <c r="J4">
        <v>6</v>
      </c>
      <c r="K4">
        <v>8</v>
      </c>
      <c r="L4">
        <v>5</v>
      </c>
      <c r="M4">
        <v>0</v>
      </c>
      <c r="N4">
        <v>7</v>
      </c>
      <c r="O4">
        <v>9</v>
      </c>
      <c r="P4">
        <v>4</v>
      </c>
      <c r="Q4">
        <v>0</v>
      </c>
      <c r="R4" s="1">
        <f t="shared" ref="C4:AG4" si="1">MOD(R3+32,256)</f>
        <v>38</v>
      </c>
      <c r="S4" s="1">
        <f t="shared" si="1"/>
        <v>39</v>
      </c>
      <c r="T4" s="1">
        <f t="shared" si="1"/>
        <v>40</v>
      </c>
      <c r="U4" s="1">
        <f t="shared" si="1"/>
        <v>41</v>
      </c>
      <c r="V4" s="1">
        <f t="shared" si="1"/>
        <v>42</v>
      </c>
      <c r="W4" s="1">
        <f t="shared" si="1"/>
        <v>43</v>
      </c>
      <c r="X4" s="1">
        <f t="shared" si="1"/>
        <v>44</v>
      </c>
      <c r="Y4" s="1">
        <f t="shared" si="1"/>
        <v>45</v>
      </c>
      <c r="Z4" s="1">
        <f t="shared" si="1"/>
        <v>46</v>
      </c>
      <c r="AA4" s="1">
        <f t="shared" si="1"/>
        <v>47</v>
      </c>
      <c r="AB4" s="1">
        <f t="shared" si="1"/>
        <v>48</v>
      </c>
      <c r="AC4" s="1">
        <f t="shared" si="1"/>
        <v>49</v>
      </c>
      <c r="AD4" s="1">
        <f t="shared" si="1"/>
        <v>50</v>
      </c>
      <c r="AE4" s="1">
        <f t="shared" si="1"/>
        <v>51</v>
      </c>
      <c r="AF4" s="1">
        <f t="shared" si="1"/>
        <v>52</v>
      </c>
      <c r="AG4" s="1">
        <f t="shared" si="1"/>
        <v>53</v>
      </c>
      <c r="AI4">
        <v>1</v>
      </c>
      <c r="AJ4">
        <v>-1</v>
      </c>
      <c r="AK4">
        <v>-1</v>
      </c>
      <c r="AL4">
        <v>1</v>
      </c>
      <c r="AO4" s="33">
        <v>1</v>
      </c>
      <c r="AP4" s="33">
        <v>11916</v>
      </c>
      <c r="AQ4" s="33">
        <v>4660</v>
      </c>
      <c r="AR4" s="33">
        <v>7490</v>
      </c>
      <c r="AS4" s="34" t="s">
        <v>15</v>
      </c>
      <c r="AT4" s="35">
        <v>43690</v>
      </c>
      <c r="AU4" s="16"/>
    </row>
    <row r="5" spans="2:47" x14ac:dyDescent="0.25">
      <c r="B5">
        <v>8</v>
      </c>
      <c r="C5">
        <v>13</v>
      </c>
      <c r="D5">
        <v>6</v>
      </c>
      <c r="E5">
        <v>5</v>
      </c>
      <c r="F5">
        <v>15</v>
      </c>
      <c r="G5">
        <v>14</v>
      </c>
      <c r="H5">
        <v>7</v>
      </c>
      <c r="I5">
        <v>14</v>
      </c>
      <c r="J5">
        <v>2</v>
      </c>
      <c r="K5">
        <v>7</v>
      </c>
      <c r="L5">
        <v>8</v>
      </c>
      <c r="M5">
        <v>15</v>
      </c>
      <c r="N5">
        <v>13</v>
      </c>
      <c r="O5">
        <v>2</v>
      </c>
      <c r="P5">
        <v>9</v>
      </c>
      <c r="Q5">
        <v>4</v>
      </c>
      <c r="R5" s="1">
        <f t="shared" ref="R5:R33" si="2">MOD(R4+32,256)</f>
        <v>70</v>
      </c>
      <c r="S5" s="1">
        <f t="shared" ref="S5:S33" si="3">MOD(S4+32,256)</f>
        <v>71</v>
      </c>
      <c r="T5" s="1">
        <f t="shared" ref="T5:T33" si="4">MOD(T4+32,256)</f>
        <v>72</v>
      </c>
      <c r="U5" s="1">
        <f t="shared" ref="U5:U33" si="5">MOD(U4+32,256)</f>
        <v>73</v>
      </c>
      <c r="V5" s="1">
        <f t="shared" ref="V5:V33" si="6">MOD(V4+32,256)</f>
        <v>74</v>
      </c>
      <c r="W5" s="1">
        <f t="shared" ref="W5:W33" si="7">MOD(W4+32,256)</f>
        <v>75</v>
      </c>
      <c r="X5" s="1">
        <f t="shared" ref="X5:X33" si="8">MOD(X4+32,256)</f>
        <v>76</v>
      </c>
      <c r="Y5" s="1">
        <f t="shared" ref="Y5:Y33" si="9">MOD(Y4+32,256)</f>
        <v>77</v>
      </c>
      <c r="Z5" s="1">
        <f t="shared" ref="Z5:Z33" si="10">MOD(Z4+32,256)</f>
        <v>78</v>
      </c>
      <c r="AA5" s="1">
        <f t="shared" ref="AA5:AA33" si="11">MOD(AA4+32,256)</f>
        <v>79</v>
      </c>
      <c r="AB5" s="1">
        <f t="shared" ref="AB5:AB33" si="12">MOD(AB4+32,256)</f>
        <v>80</v>
      </c>
      <c r="AC5" s="1">
        <f t="shared" ref="AC5:AC33" si="13">MOD(AC4+32,256)</f>
        <v>81</v>
      </c>
      <c r="AD5" s="1">
        <f t="shared" ref="AD5:AD33" si="14">MOD(AD4+32,256)</f>
        <v>82</v>
      </c>
      <c r="AE5" s="1">
        <f t="shared" ref="AE5:AE33" si="15">MOD(AE4+32,256)</f>
        <v>83</v>
      </c>
      <c r="AF5" s="1">
        <f t="shared" ref="AF5:AF33" si="16">MOD(AF4+32,256)</f>
        <v>84</v>
      </c>
      <c r="AG5" s="1">
        <f t="shared" ref="AG5:AG33" si="17">MOD(AG4+32,256)</f>
        <v>85</v>
      </c>
      <c r="AI5">
        <v>1</v>
      </c>
      <c r="AJ5">
        <v>-1</v>
      </c>
      <c r="AK5">
        <v>1</v>
      </c>
      <c r="AL5">
        <v>-1</v>
      </c>
      <c r="AO5" s="33">
        <v>2</v>
      </c>
      <c r="AP5" s="33">
        <v>10082</v>
      </c>
      <c r="AQ5" s="33">
        <v>4194</v>
      </c>
      <c r="AR5" s="33">
        <v>6554</v>
      </c>
      <c r="AS5" s="34" t="s">
        <v>16</v>
      </c>
      <c r="AT5" s="35">
        <v>87381</v>
      </c>
      <c r="AU5" s="16"/>
    </row>
    <row r="6" spans="2:47" x14ac:dyDescent="0.25">
      <c r="B6">
        <v>5</v>
      </c>
      <c r="C6">
        <v>3</v>
      </c>
      <c r="D6">
        <v>1</v>
      </c>
      <c r="E6">
        <v>3</v>
      </c>
      <c r="F6">
        <v>11</v>
      </c>
      <c r="G6">
        <v>7</v>
      </c>
      <c r="H6">
        <v>7</v>
      </c>
      <c r="I6">
        <v>4</v>
      </c>
      <c r="J6">
        <v>9</v>
      </c>
      <c r="K6">
        <v>0</v>
      </c>
      <c r="L6">
        <v>1</v>
      </c>
      <c r="M6">
        <v>12</v>
      </c>
      <c r="N6">
        <v>15</v>
      </c>
      <c r="O6">
        <v>12</v>
      </c>
      <c r="P6">
        <v>1</v>
      </c>
      <c r="Q6">
        <v>8</v>
      </c>
      <c r="R6" s="1">
        <f t="shared" si="2"/>
        <v>102</v>
      </c>
      <c r="S6" s="1">
        <f t="shared" si="3"/>
        <v>103</v>
      </c>
      <c r="T6" s="1">
        <f t="shared" si="4"/>
        <v>104</v>
      </c>
      <c r="U6" s="1">
        <f t="shared" si="5"/>
        <v>105</v>
      </c>
      <c r="V6" s="1">
        <f t="shared" si="6"/>
        <v>106</v>
      </c>
      <c r="W6" s="1">
        <f t="shared" si="7"/>
        <v>107</v>
      </c>
      <c r="X6" s="1">
        <f t="shared" si="8"/>
        <v>108</v>
      </c>
      <c r="Y6" s="1">
        <f t="shared" si="9"/>
        <v>109</v>
      </c>
      <c r="Z6" s="1">
        <f t="shared" si="10"/>
        <v>110</v>
      </c>
      <c r="AA6" s="1">
        <f t="shared" si="11"/>
        <v>111</v>
      </c>
      <c r="AB6" s="1">
        <f t="shared" si="12"/>
        <v>112</v>
      </c>
      <c r="AC6" s="1">
        <f t="shared" si="13"/>
        <v>113</v>
      </c>
      <c r="AD6" s="1">
        <f t="shared" si="14"/>
        <v>114</v>
      </c>
      <c r="AE6" s="1">
        <f t="shared" si="15"/>
        <v>115</v>
      </c>
      <c r="AF6" s="1">
        <f t="shared" si="16"/>
        <v>116</v>
      </c>
      <c r="AG6" s="1">
        <f t="shared" si="17"/>
        <v>117</v>
      </c>
      <c r="AI6" t="s">
        <v>4</v>
      </c>
      <c r="AO6" s="33">
        <v>3</v>
      </c>
      <c r="AP6" s="33">
        <v>9362</v>
      </c>
      <c r="AQ6" s="33">
        <v>3647</v>
      </c>
      <c r="AR6" s="33">
        <v>5825</v>
      </c>
      <c r="AS6" s="34" t="s">
        <v>17</v>
      </c>
      <c r="AT6" s="35">
        <v>174762</v>
      </c>
      <c r="AU6" s="16"/>
    </row>
    <row r="7" spans="2:47" x14ac:dyDescent="0.25">
      <c r="B7">
        <v>15</v>
      </c>
      <c r="C7">
        <v>3</v>
      </c>
      <c r="D7">
        <v>5</v>
      </c>
      <c r="E7">
        <v>3</v>
      </c>
      <c r="F7">
        <v>14</v>
      </c>
      <c r="G7">
        <v>8</v>
      </c>
      <c r="H7">
        <v>6</v>
      </c>
      <c r="I7">
        <v>9</v>
      </c>
      <c r="J7">
        <v>12</v>
      </c>
      <c r="K7">
        <v>3</v>
      </c>
      <c r="L7">
        <v>4</v>
      </c>
      <c r="M7">
        <v>6</v>
      </c>
      <c r="N7">
        <v>0</v>
      </c>
      <c r="O7">
        <v>10</v>
      </c>
      <c r="P7">
        <v>9</v>
      </c>
      <c r="Q7">
        <v>5</v>
      </c>
      <c r="R7" s="1">
        <f t="shared" si="2"/>
        <v>134</v>
      </c>
      <c r="S7" s="1">
        <f t="shared" si="3"/>
        <v>135</v>
      </c>
      <c r="T7" s="1">
        <f t="shared" si="4"/>
        <v>136</v>
      </c>
      <c r="U7" s="1">
        <f t="shared" si="5"/>
        <v>137</v>
      </c>
      <c r="V7" s="1">
        <f t="shared" si="6"/>
        <v>138</v>
      </c>
      <c r="W7" s="1">
        <f t="shared" si="7"/>
        <v>139</v>
      </c>
      <c r="X7" s="1">
        <f t="shared" si="8"/>
        <v>140</v>
      </c>
      <c r="Y7" s="1">
        <f t="shared" si="9"/>
        <v>141</v>
      </c>
      <c r="Z7" s="1">
        <f t="shared" si="10"/>
        <v>142</v>
      </c>
      <c r="AA7" s="1">
        <f t="shared" si="11"/>
        <v>143</v>
      </c>
      <c r="AB7" s="1">
        <f t="shared" si="12"/>
        <v>144</v>
      </c>
      <c r="AC7" s="1">
        <f t="shared" si="13"/>
        <v>145</v>
      </c>
      <c r="AD7" s="1">
        <f t="shared" si="14"/>
        <v>146</v>
      </c>
      <c r="AE7" s="1">
        <f t="shared" si="15"/>
        <v>147</v>
      </c>
      <c r="AF7" s="1">
        <f t="shared" si="16"/>
        <v>148</v>
      </c>
      <c r="AG7" s="1">
        <f t="shared" si="17"/>
        <v>149</v>
      </c>
      <c r="AI7">
        <v>6</v>
      </c>
      <c r="AJ7">
        <v>5</v>
      </c>
      <c r="AK7">
        <v>13</v>
      </c>
      <c r="AL7">
        <v>11</v>
      </c>
      <c r="AM7" t="s">
        <v>3</v>
      </c>
      <c r="AN7">
        <v>128</v>
      </c>
      <c r="AO7" s="33">
        <v>4</v>
      </c>
      <c r="AP7" s="33">
        <v>8192</v>
      </c>
      <c r="AQ7" s="33">
        <v>3355</v>
      </c>
      <c r="AR7" s="33">
        <v>5243</v>
      </c>
      <c r="AS7" s="36"/>
      <c r="AT7" s="16"/>
      <c r="AU7" s="16"/>
    </row>
    <row r="8" spans="2:47" x14ac:dyDescent="0.25">
      <c r="B8">
        <v>8</v>
      </c>
      <c r="C8">
        <v>7</v>
      </c>
      <c r="D8">
        <v>2</v>
      </c>
      <c r="E8">
        <v>5</v>
      </c>
      <c r="F8">
        <v>9</v>
      </c>
      <c r="G8">
        <v>11</v>
      </c>
      <c r="H8">
        <v>2</v>
      </c>
      <c r="I8">
        <v>0</v>
      </c>
      <c r="J8">
        <v>5</v>
      </c>
      <c r="K8">
        <v>3</v>
      </c>
      <c r="L8">
        <v>10</v>
      </c>
      <c r="M8">
        <v>5</v>
      </c>
      <c r="N8">
        <v>10</v>
      </c>
      <c r="O8">
        <v>9</v>
      </c>
      <c r="P8">
        <v>4</v>
      </c>
      <c r="Q8">
        <v>14</v>
      </c>
      <c r="R8" s="1">
        <f t="shared" si="2"/>
        <v>166</v>
      </c>
      <c r="S8" s="1">
        <f t="shared" si="3"/>
        <v>167</v>
      </c>
      <c r="T8" s="1">
        <f t="shared" si="4"/>
        <v>168</v>
      </c>
      <c r="U8" s="1">
        <f t="shared" si="5"/>
        <v>169</v>
      </c>
      <c r="V8" s="1">
        <f t="shared" si="6"/>
        <v>170</v>
      </c>
      <c r="W8" s="1">
        <f t="shared" si="7"/>
        <v>171</v>
      </c>
      <c r="X8" s="1">
        <f t="shared" si="8"/>
        <v>172</v>
      </c>
      <c r="Y8" s="1">
        <f t="shared" si="9"/>
        <v>173</v>
      </c>
      <c r="Z8" s="1">
        <f t="shared" si="10"/>
        <v>174</v>
      </c>
      <c r="AA8" s="1">
        <f t="shared" si="11"/>
        <v>175</v>
      </c>
      <c r="AB8" s="1">
        <f t="shared" si="12"/>
        <v>176</v>
      </c>
      <c r="AC8" s="1">
        <f t="shared" si="13"/>
        <v>177</v>
      </c>
      <c r="AD8" s="1">
        <f t="shared" si="14"/>
        <v>178</v>
      </c>
      <c r="AE8" s="1">
        <f t="shared" si="15"/>
        <v>179</v>
      </c>
      <c r="AF8" s="1">
        <f t="shared" si="16"/>
        <v>180</v>
      </c>
      <c r="AG8" s="1">
        <f t="shared" si="17"/>
        <v>181</v>
      </c>
      <c r="AI8">
        <v>3</v>
      </c>
      <c r="AJ8">
        <v>6</v>
      </c>
      <c r="AK8">
        <v>14</v>
      </c>
      <c r="AL8">
        <v>10</v>
      </c>
      <c r="AM8" t="s">
        <v>7</v>
      </c>
      <c r="AN8">
        <v>2</v>
      </c>
      <c r="AO8" s="33">
        <v>5</v>
      </c>
      <c r="AP8" s="33">
        <v>7282</v>
      </c>
      <c r="AQ8" s="33">
        <v>2893</v>
      </c>
      <c r="AR8" s="33">
        <v>4559</v>
      </c>
      <c r="AS8" s="36"/>
      <c r="AT8" s="16"/>
      <c r="AU8" s="16"/>
    </row>
    <row r="9" spans="2:47" x14ac:dyDescent="0.25">
      <c r="B9">
        <v>3</v>
      </c>
      <c r="C9">
        <v>14</v>
      </c>
      <c r="D9">
        <v>6</v>
      </c>
      <c r="E9">
        <v>11</v>
      </c>
      <c r="F9">
        <v>8</v>
      </c>
      <c r="G9">
        <v>13</v>
      </c>
      <c r="H9">
        <v>14</v>
      </c>
      <c r="I9">
        <v>9</v>
      </c>
      <c r="J9">
        <v>8</v>
      </c>
      <c r="K9">
        <v>15</v>
      </c>
      <c r="L9">
        <v>12</v>
      </c>
      <c r="M9">
        <v>4</v>
      </c>
      <c r="N9">
        <v>0</v>
      </c>
      <c r="O9">
        <v>6</v>
      </c>
      <c r="P9">
        <v>3</v>
      </c>
      <c r="Q9">
        <v>1</v>
      </c>
      <c r="R9" s="1">
        <f t="shared" si="2"/>
        <v>198</v>
      </c>
      <c r="S9" s="1">
        <f t="shared" si="3"/>
        <v>199</v>
      </c>
      <c r="T9" s="1">
        <f t="shared" si="4"/>
        <v>200</v>
      </c>
      <c r="U9" s="1">
        <f t="shared" si="5"/>
        <v>201</v>
      </c>
      <c r="V9" s="1">
        <f t="shared" si="6"/>
        <v>202</v>
      </c>
      <c r="W9" s="1">
        <f t="shared" si="7"/>
        <v>203</v>
      </c>
      <c r="X9" s="1">
        <f t="shared" si="8"/>
        <v>204</v>
      </c>
      <c r="Y9" s="1">
        <f t="shared" si="9"/>
        <v>205</v>
      </c>
      <c r="Z9" s="1">
        <f t="shared" si="10"/>
        <v>206</v>
      </c>
      <c r="AA9" s="1">
        <f t="shared" si="11"/>
        <v>207</v>
      </c>
      <c r="AB9" s="1">
        <f t="shared" si="12"/>
        <v>208</v>
      </c>
      <c r="AC9" s="1">
        <f t="shared" si="13"/>
        <v>209</v>
      </c>
      <c r="AD9" s="1">
        <f t="shared" si="14"/>
        <v>210</v>
      </c>
      <c r="AE9" s="1">
        <f t="shared" si="15"/>
        <v>211</v>
      </c>
      <c r="AF9" s="1">
        <f t="shared" si="16"/>
        <v>212</v>
      </c>
      <c r="AG9" s="1">
        <f t="shared" si="17"/>
        <v>213</v>
      </c>
      <c r="AI9">
        <v>6</v>
      </c>
      <c r="AJ9">
        <v>10</v>
      </c>
      <c r="AK9">
        <v>12</v>
      </c>
      <c r="AL9">
        <v>2</v>
      </c>
      <c r="AO9" s="33" t="s">
        <v>18</v>
      </c>
      <c r="AP9" s="33" t="s">
        <v>9</v>
      </c>
      <c r="AQ9" s="33" t="s">
        <v>10</v>
      </c>
      <c r="AR9" s="33" t="s">
        <v>11</v>
      </c>
      <c r="AS9" s="34" t="s">
        <v>19</v>
      </c>
      <c r="AT9" s="16"/>
      <c r="AU9" s="33" t="s">
        <v>21</v>
      </c>
    </row>
    <row r="10" spans="2:47" x14ac:dyDescent="0.25">
      <c r="B10">
        <v>1</v>
      </c>
      <c r="C10">
        <v>7</v>
      </c>
      <c r="D10">
        <v>1</v>
      </c>
      <c r="E10">
        <v>14</v>
      </c>
      <c r="F10">
        <v>3</v>
      </c>
      <c r="G10">
        <v>8</v>
      </c>
      <c r="H10">
        <v>7</v>
      </c>
      <c r="I10">
        <v>13</v>
      </c>
      <c r="J10">
        <v>6</v>
      </c>
      <c r="K10">
        <v>11</v>
      </c>
      <c r="L10">
        <v>0</v>
      </c>
      <c r="M10">
        <v>4</v>
      </c>
      <c r="N10">
        <v>0</v>
      </c>
      <c r="O10">
        <v>5</v>
      </c>
      <c r="P10">
        <v>7</v>
      </c>
      <c r="Q10">
        <v>8</v>
      </c>
      <c r="R10" s="1">
        <f t="shared" si="2"/>
        <v>230</v>
      </c>
      <c r="S10" s="1">
        <f t="shared" si="3"/>
        <v>231</v>
      </c>
      <c r="T10" s="1">
        <f t="shared" si="4"/>
        <v>232</v>
      </c>
      <c r="U10" s="1">
        <f t="shared" si="5"/>
        <v>233</v>
      </c>
      <c r="V10" s="1">
        <f t="shared" si="6"/>
        <v>234</v>
      </c>
      <c r="W10" s="1">
        <f t="shared" si="7"/>
        <v>235</v>
      </c>
      <c r="X10" s="1">
        <f t="shared" si="8"/>
        <v>236</v>
      </c>
      <c r="Y10" s="1">
        <f t="shared" si="9"/>
        <v>237</v>
      </c>
      <c r="Z10" s="1">
        <f t="shared" si="10"/>
        <v>238</v>
      </c>
      <c r="AA10" s="1">
        <f t="shared" si="11"/>
        <v>239</v>
      </c>
      <c r="AB10" s="1">
        <f t="shared" si="12"/>
        <v>240</v>
      </c>
      <c r="AC10" s="1">
        <f t="shared" si="13"/>
        <v>241</v>
      </c>
      <c r="AD10" s="1">
        <f t="shared" si="14"/>
        <v>242</v>
      </c>
      <c r="AE10" s="1">
        <f t="shared" si="15"/>
        <v>243</v>
      </c>
      <c r="AF10" s="1">
        <f t="shared" si="16"/>
        <v>244</v>
      </c>
      <c r="AG10" s="1">
        <f t="shared" si="17"/>
        <v>245</v>
      </c>
      <c r="AI10">
        <v>8</v>
      </c>
      <c r="AJ10">
        <v>13</v>
      </c>
      <c r="AK10">
        <v>6</v>
      </c>
      <c r="AL10">
        <v>5</v>
      </c>
      <c r="AO10" s="33">
        <f>MOD(AN8,6)</f>
        <v>2</v>
      </c>
      <c r="AP10" s="33">
        <f>IF($AO$10=0,AP3,IF($AO$10=1,AP4,IF($AO$10=2,AP5,IF($AO$10=3,AP6,IF($AO$10=4,AP7,AP8)))))</f>
        <v>10082</v>
      </c>
      <c r="AQ10" s="33">
        <f t="shared" ref="AQ10:AR10" si="18">IF($AO$10=0,AQ3,IF($AO$10=1,AQ4,IF($AO$10=2,AQ5,IF($AO$10=3,AQ6,IF($AO$10=4,AQ7,AQ8)))))</f>
        <v>4194</v>
      </c>
      <c r="AR10" s="33">
        <f t="shared" si="18"/>
        <v>6554</v>
      </c>
      <c r="AS10" s="35">
        <f>IF(AN8&lt;6,AT2,IF(AN8&lt;12,AT3,IF(AN8&lt;18,AT4,IF(AN8&lt;24,AT5,AT6))))</f>
        <v>10922</v>
      </c>
      <c r="AT10" s="16"/>
      <c r="AU10" s="16">
        <f>15+_xlfn.FLOOR.MATH(AN8/6)</f>
        <v>15</v>
      </c>
    </row>
    <row r="11" spans="2:47" x14ac:dyDescent="0.25">
      <c r="B11">
        <v>2</v>
      </c>
      <c r="C11">
        <v>8</v>
      </c>
      <c r="D11">
        <v>3</v>
      </c>
      <c r="E11">
        <v>12</v>
      </c>
      <c r="F11">
        <v>2</v>
      </c>
      <c r="G11">
        <v>2</v>
      </c>
      <c r="H11">
        <v>3</v>
      </c>
      <c r="I11">
        <v>9</v>
      </c>
      <c r="J11">
        <v>5</v>
      </c>
      <c r="K11">
        <v>11</v>
      </c>
      <c r="L11">
        <v>14</v>
      </c>
      <c r="M11">
        <v>12</v>
      </c>
      <c r="N11">
        <v>2</v>
      </c>
      <c r="O11">
        <v>3</v>
      </c>
      <c r="P11">
        <v>6</v>
      </c>
      <c r="Q11">
        <v>10</v>
      </c>
      <c r="R11" s="1">
        <f t="shared" si="2"/>
        <v>6</v>
      </c>
      <c r="S11" s="1">
        <f t="shared" si="3"/>
        <v>7</v>
      </c>
      <c r="T11" s="1">
        <f t="shared" si="4"/>
        <v>8</v>
      </c>
      <c r="U11" s="1">
        <f t="shared" si="5"/>
        <v>9</v>
      </c>
      <c r="V11" s="1">
        <f t="shared" si="6"/>
        <v>10</v>
      </c>
      <c r="W11" s="1">
        <f t="shared" si="7"/>
        <v>11</v>
      </c>
      <c r="X11" s="1">
        <f t="shared" si="8"/>
        <v>12</v>
      </c>
      <c r="Y11" s="1">
        <f t="shared" si="9"/>
        <v>13</v>
      </c>
      <c r="Z11" s="1">
        <f t="shared" si="10"/>
        <v>14</v>
      </c>
      <c r="AA11" s="1">
        <f t="shared" si="11"/>
        <v>15</v>
      </c>
      <c r="AB11" s="1">
        <f t="shared" si="12"/>
        <v>16</v>
      </c>
      <c r="AC11" s="1">
        <f t="shared" si="13"/>
        <v>17</v>
      </c>
      <c r="AD11" s="1">
        <f t="shared" si="14"/>
        <v>18</v>
      </c>
      <c r="AE11" s="1">
        <f t="shared" si="15"/>
        <v>19</v>
      </c>
      <c r="AF11" s="1">
        <f t="shared" si="16"/>
        <v>20</v>
      </c>
      <c r="AG11" s="1">
        <f t="shared" si="17"/>
        <v>21</v>
      </c>
      <c r="AO11" s="16"/>
      <c r="AP11" s="16"/>
      <c r="AQ11" s="16"/>
      <c r="AR11" s="16"/>
      <c r="AS11" s="16"/>
      <c r="AT11" s="16"/>
      <c r="AU11" s="16"/>
    </row>
    <row r="12" spans="2:47" x14ac:dyDescent="0.25">
      <c r="B12">
        <v>13</v>
      </c>
      <c r="C12">
        <v>0</v>
      </c>
      <c r="D12">
        <v>14</v>
      </c>
      <c r="E12">
        <v>0</v>
      </c>
      <c r="F12">
        <v>0</v>
      </c>
      <c r="G12">
        <v>10</v>
      </c>
      <c r="H12">
        <v>13</v>
      </c>
      <c r="I12">
        <v>5</v>
      </c>
      <c r="J12">
        <v>3</v>
      </c>
      <c r="K12">
        <v>13</v>
      </c>
      <c r="L12">
        <v>7</v>
      </c>
      <c r="M12">
        <v>15</v>
      </c>
      <c r="N12">
        <v>12</v>
      </c>
      <c r="O12">
        <v>11</v>
      </c>
      <c r="P12">
        <v>4</v>
      </c>
      <c r="Q12">
        <v>4</v>
      </c>
      <c r="R12" s="1">
        <f t="shared" si="2"/>
        <v>38</v>
      </c>
      <c r="S12" s="1">
        <f t="shared" si="3"/>
        <v>39</v>
      </c>
      <c r="T12" s="1">
        <f t="shared" si="4"/>
        <v>40</v>
      </c>
      <c r="U12" s="1">
        <f t="shared" si="5"/>
        <v>41</v>
      </c>
      <c r="V12" s="1">
        <f t="shared" si="6"/>
        <v>42</v>
      </c>
      <c r="W12" s="1">
        <f t="shared" si="7"/>
        <v>43</v>
      </c>
      <c r="X12" s="1">
        <f t="shared" si="8"/>
        <v>44</v>
      </c>
      <c r="Y12" s="1">
        <f t="shared" si="9"/>
        <v>45</v>
      </c>
      <c r="Z12" s="1">
        <f t="shared" si="10"/>
        <v>46</v>
      </c>
      <c r="AA12" s="1">
        <f t="shared" si="11"/>
        <v>47</v>
      </c>
      <c r="AB12" s="1">
        <f t="shared" si="12"/>
        <v>48</v>
      </c>
      <c r="AC12" s="1">
        <f t="shared" si="13"/>
        <v>49</v>
      </c>
      <c r="AD12" s="1">
        <f t="shared" si="14"/>
        <v>50</v>
      </c>
      <c r="AE12" s="1">
        <f t="shared" si="15"/>
        <v>51</v>
      </c>
      <c r="AF12" s="1">
        <f t="shared" si="16"/>
        <v>52</v>
      </c>
      <c r="AG12" s="1">
        <f t="shared" si="17"/>
        <v>53</v>
      </c>
      <c r="AO12" s="38" t="s">
        <v>22</v>
      </c>
      <c r="AP12" s="38"/>
      <c r="AQ12" s="38"/>
      <c r="AR12" s="38"/>
      <c r="AS12" s="16"/>
      <c r="AT12" s="16"/>
      <c r="AU12" s="16"/>
    </row>
    <row r="13" spans="2:47" x14ac:dyDescent="0.25">
      <c r="B13">
        <v>14</v>
      </c>
      <c r="C13">
        <v>3</v>
      </c>
      <c r="D13">
        <v>1</v>
      </c>
      <c r="E13">
        <v>11</v>
      </c>
      <c r="F13">
        <v>14</v>
      </c>
      <c r="G13">
        <v>10</v>
      </c>
      <c r="H13">
        <v>9</v>
      </c>
      <c r="I13">
        <v>1</v>
      </c>
      <c r="J13">
        <v>15</v>
      </c>
      <c r="K13">
        <v>15</v>
      </c>
      <c r="L13">
        <v>2</v>
      </c>
      <c r="M13">
        <v>14</v>
      </c>
      <c r="N13">
        <v>0</v>
      </c>
      <c r="O13">
        <v>1</v>
      </c>
      <c r="P13">
        <v>6</v>
      </c>
      <c r="Q13">
        <v>10</v>
      </c>
      <c r="R13" s="1">
        <f t="shared" si="2"/>
        <v>70</v>
      </c>
      <c r="S13" s="1">
        <f t="shared" si="3"/>
        <v>71</v>
      </c>
      <c r="T13" s="1">
        <f t="shared" si="4"/>
        <v>72</v>
      </c>
      <c r="U13" s="1">
        <f t="shared" si="5"/>
        <v>73</v>
      </c>
      <c r="V13" s="1">
        <f t="shared" si="6"/>
        <v>74</v>
      </c>
      <c r="W13" s="1">
        <f t="shared" si="7"/>
        <v>75</v>
      </c>
      <c r="X13" s="1">
        <f t="shared" si="8"/>
        <v>76</v>
      </c>
      <c r="Y13" s="1">
        <f t="shared" si="9"/>
        <v>77</v>
      </c>
      <c r="Z13" s="1">
        <f t="shared" si="10"/>
        <v>78</v>
      </c>
      <c r="AA13" s="1">
        <f t="shared" si="11"/>
        <v>79</v>
      </c>
      <c r="AB13" s="1">
        <f t="shared" si="12"/>
        <v>80</v>
      </c>
      <c r="AC13" s="1">
        <f t="shared" si="13"/>
        <v>81</v>
      </c>
      <c r="AD13" s="1">
        <f t="shared" si="14"/>
        <v>82</v>
      </c>
      <c r="AE13" s="1">
        <f t="shared" si="15"/>
        <v>83</v>
      </c>
      <c r="AF13" s="1">
        <f t="shared" si="16"/>
        <v>84</v>
      </c>
      <c r="AG13" s="1">
        <f t="shared" si="17"/>
        <v>85</v>
      </c>
      <c r="AI13" t="s">
        <v>5</v>
      </c>
      <c r="AO13" s="41">
        <f>AP10</f>
        <v>10082</v>
      </c>
      <c r="AP13" s="41">
        <f>AR10</f>
        <v>6554</v>
      </c>
      <c r="AQ13" s="41">
        <f>AP10</f>
        <v>10082</v>
      </c>
      <c r="AR13" s="41">
        <f>AR10</f>
        <v>6554</v>
      </c>
      <c r="AS13" s="16"/>
      <c r="AT13" s="16"/>
      <c r="AU13" s="16"/>
    </row>
    <row r="14" spans="2:47" x14ac:dyDescent="0.25">
      <c r="B14">
        <v>4</v>
      </c>
      <c r="C14">
        <v>4</v>
      </c>
      <c r="D14">
        <v>12</v>
      </c>
      <c r="E14">
        <v>6</v>
      </c>
      <c r="F14">
        <v>8</v>
      </c>
      <c r="G14">
        <v>3</v>
      </c>
      <c r="H14">
        <v>10</v>
      </c>
      <c r="I14">
        <v>2</v>
      </c>
      <c r="J14">
        <v>7</v>
      </c>
      <c r="K14">
        <v>14</v>
      </c>
      <c r="L14">
        <v>12</v>
      </c>
      <c r="M14">
        <v>4</v>
      </c>
      <c r="N14">
        <v>3</v>
      </c>
      <c r="O14">
        <v>13</v>
      </c>
      <c r="P14">
        <v>3</v>
      </c>
      <c r="Q14">
        <v>2</v>
      </c>
      <c r="R14" s="1">
        <f t="shared" si="2"/>
        <v>102</v>
      </c>
      <c r="S14" s="1">
        <f t="shared" si="3"/>
        <v>103</v>
      </c>
      <c r="T14" s="1">
        <f t="shared" si="4"/>
        <v>104</v>
      </c>
      <c r="U14" s="1">
        <f t="shared" si="5"/>
        <v>105</v>
      </c>
      <c r="V14" s="1">
        <f t="shared" si="6"/>
        <v>106</v>
      </c>
      <c r="W14" s="1">
        <f t="shared" si="7"/>
        <v>107</v>
      </c>
      <c r="X14" s="1">
        <f t="shared" si="8"/>
        <v>108</v>
      </c>
      <c r="Y14" s="1">
        <f t="shared" si="9"/>
        <v>109</v>
      </c>
      <c r="Z14" s="1">
        <f t="shared" si="10"/>
        <v>110</v>
      </c>
      <c r="AA14" s="1">
        <f t="shared" si="11"/>
        <v>111</v>
      </c>
      <c r="AB14" s="1">
        <f t="shared" si="12"/>
        <v>112</v>
      </c>
      <c r="AC14" s="1">
        <f t="shared" si="13"/>
        <v>113</v>
      </c>
      <c r="AD14" s="1">
        <f t="shared" si="14"/>
        <v>114</v>
      </c>
      <c r="AE14" s="1">
        <f t="shared" si="15"/>
        <v>115</v>
      </c>
      <c r="AF14" s="1">
        <f t="shared" si="16"/>
        <v>116</v>
      </c>
      <c r="AG14" s="1">
        <f t="shared" si="17"/>
        <v>117</v>
      </c>
      <c r="AI14" s="1">
        <f>AI7-$AN$7</f>
        <v>-122</v>
      </c>
      <c r="AJ14" s="1">
        <f t="shared" ref="AJ14:AL14" si="19">AJ7-$AN$7</f>
        <v>-123</v>
      </c>
      <c r="AK14" s="1">
        <f t="shared" si="19"/>
        <v>-115</v>
      </c>
      <c r="AL14" s="1">
        <f t="shared" si="19"/>
        <v>-117</v>
      </c>
      <c r="AO14" s="41">
        <f>AR10</f>
        <v>6554</v>
      </c>
      <c r="AP14" s="41">
        <f>AQ10</f>
        <v>4194</v>
      </c>
      <c r="AQ14" s="41">
        <f>AR10</f>
        <v>6554</v>
      </c>
      <c r="AR14" s="41">
        <f>AQ10</f>
        <v>4194</v>
      </c>
      <c r="AS14" s="16"/>
      <c r="AT14" s="16"/>
      <c r="AU14" s="16"/>
    </row>
    <row r="15" spans="2:47" x14ac:dyDescent="0.25">
      <c r="B15">
        <v>9</v>
      </c>
      <c r="C15">
        <v>15</v>
      </c>
      <c r="D15">
        <v>14</v>
      </c>
      <c r="E15">
        <v>7</v>
      </c>
      <c r="F15">
        <v>8</v>
      </c>
      <c r="G15">
        <v>8</v>
      </c>
      <c r="H15">
        <v>7</v>
      </c>
      <c r="I15">
        <v>15</v>
      </c>
      <c r="J15">
        <v>6</v>
      </c>
      <c r="K15">
        <v>1</v>
      </c>
      <c r="L15">
        <v>1</v>
      </c>
      <c r="M15">
        <v>5</v>
      </c>
      <c r="N15">
        <v>13</v>
      </c>
      <c r="O15">
        <v>14</v>
      </c>
      <c r="P15">
        <v>1</v>
      </c>
      <c r="Q15">
        <v>4</v>
      </c>
      <c r="R15" s="1">
        <f t="shared" si="2"/>
        <v>134</v>
      </c>
      <c r="S15" s="1">
        <f t="shared" si="3"/>
        <v>135</v>
      </c>
      <c r="T15" s="1">
        <f t="shared" si="4"/>
        <v>136</v>
      </c>
      <c r="U15" s="1">
        <f t="shared" si="5"/>
        <v>137</v>
      </c>
      <c r="V15" s="1">
        <f t="shared" si="6"/>
        <v>138</v>
      </c>
      <c r="W15" s="1">
        <f t="shared" si="7"/>
        <v>139</v>
      </c>
      <c r="X15" s="1">
        <f t="shared" si="8"/>
        <v>140</v>
      </c>
      <c r="Y15" s="1">
        <f t="shared" si="9"/>
        <v>141</v>
      </c>
      <c r="Z15" s="1">
        <f t="shared" si="10"/>
        <v>142</v>
      </c>
      <c r="AA15" s="1">
        <f t="shared" si="11"/>
        <v>143</v>
      </c>
      <c r="AB15" s="1">
        <f t="shared" si="12"/>
        <v>144</v>
      </c>
      <c r="AC15" s="1">
        <f t="shared" si="13"/>
        <v>145</v>
      </c>
      <c r="AD15" s="1">
        <f t="shared" si="14"/>
        <v>146</v>
      </c>
      <c r="AE15" s="1">
        <f t="shared" si="15"/>
        <v>147</v>
      </c>
      <c r="AF15" s="1">
        <f t="shared" si="16"/>
        <v>148</v>
      </c>
      <c r="AG15" s="1">
        <f t="shared" si="17"/>
        <v>149</v>
      </c>
      <c r="AI15" s="1">
        <f t="shared" ref="AI15:AL15" si="20">AI8-$AN$7</f>
        <v>-125</v>
      </c>
      <c r="AJ15" s="1">
        <f t="shared" si="20"/>
        <v>-122</v>
      </c>
      <c r="AK15" s="1">
        <f t="shared" si="20"/>
        <v>-114</v>
      </c>
      <c r="AL15" s="1">
        <f t="shared" si="20"/>
        <v>-118</v>
      </c>
      <c r="AO15" s="41">
        <f>AP10</f>
        <v>10082</v>
      </c>
      <c r="AP15" s="41">
        <f>AR10</f>
        <v>6554</v>
      </c>
      <c r="AQ15" s="41">
        <f>AP10</f>
        <v>10082</v>
      </c>
      <c r="AR15" s="41">
        <f>AR10</f>
        <v>6554</v>
      </c>
      <c r="AS15" s="16"/>
      <c r="AT15" s="16"/>
      <c r="AU15" s="16"/>
    </row>
    <row r="16" spans="2:47" x14ac:dyDescent="0.25">
      <c r="B16">
        <v>7</v>
      </c>
      <c r="C16">
        <v>10</v>
      </c>
      <c r="D16">
        <v>8</v>
      </c>
      <c r="E16">
        <v>4</v>
      </c>
      <c r="F16">
        <v>11</v>
      </c>
      <c r="G16">
        <v>14</v>
      </c>
      <c r="H16">
        <v>14</v>
      </c>
      <c r="I16">
        <v>15</v>
      </c>
      <c r="J16">
        <v>14</v>
      </c>
      <c r="K16">
        <v>14</v>
      </c>
      <c r="L16">
        <v>6</v>
      </c>
      <c r="M16">
        <v>15</v>
      </c>
      <c r="N16">
        <v>2</v>
      </c>
      <c r="O16">
        <v>3</v>
      </c>
      <c r="P16">
        <v>2</v>
      </c>
      <c r="Q16">
        <v>14</v>
      </c>
      <c r="R16" s="1">
        <f t="shared" si="2"/>
        <v>166</v>
      </c>
      <c r="S16" s="1">
        <f t="shared" si="3"/>
        <v>167</v>
      </c>
      <c r="T16" s="1">
        <f t="shared" si="4"/>
        <v>168</v>
      </c>
      <c r="U16" s="1">
        <f t="shared" si="5"/>
        <v>169</v>
      </c>
      <c r="V16" s="1">
        <f t="shared" si="6"/>
        <v>170</v>
      </c>
      <c r="W16" s="1">
        <f t="shared" si="7"/>
        <v>171</v>
      </c>
      <c r="X16" s="1">
        <f t="shared" si="8"/>
        <v>172</v>
      </c>
      <c r="Y16" s="1">
        <f t="shared" si="9"/>
        <v>173</v>
      </c>
      <c r="Z16" s="1">
        <f t="shared" si="10"/>
        <v>174</v>
      </c>
      <c r="AA16" s="1">
        <f t="shared" si="11"/>
        <v>175</v>
      </c>
      <c r="AB16" s="1">
        <f t="shared" si="12"/>
        <v>176</v>
      </c>
      <c r="AC16" s="1">
        <f t="shared" si="13"/>
        <v>177</v>
      </c>
      <c r="AD16" s="1">
        <f t="shared" si="14"/>
        <v>178</v>
      </c>
      <c r="AE16" s="1">
        <f t="shared" si="15"/>
        <v>179</v>
      </c>
      <c r="AF16" s="1">
        <f t="shared" si="16"/>
        <v>180</v>
      </c>
      <c r="AG16" s="1">
        <f t="shared" si="17"/>
        <v>181</v>
      </c>
      <c r="AI16" s="1">
        <f t="shared" ref="AI16:AL16" si="21">AI9-$AN$7</f>
        <v>-122</v>
      </c>
      <c r="AJ16" s="1">
        <f t="shared" si="21"/>
        <v>-118</v>
      </c>
      <c r="AK16" s="1">
        <f t="shared" si="21"/>
        <v>-116</v>
      </c>
      <c r="AL16" s="1">
        <f t="shared" si="21"/>
        <v>-126</v>
      </c>
      <c r="AO16" s="41">
        <f>AR10</f>
        <v>6554</v>
      </c>
      <c r="AP16" s="41">
        <f>AQ10</f>
        <v>4194</v>
      </c>
      <c r="AQ16" s="41">
        <f>AR10</f>
        <v>6554</v>
      </c>
      <c r="AR16" s="41">
        <f>AQ10</f>
        <v>4194</v>
      </c>
      <c r="AS16" s="16"/>
      <c r="AT16" s="16"/>
      <c r="AU16" s="16"/>
    </row>
    <row r="17" spans="2:47" x14ac:dyDescent="0.25">
      <c r="B17">
        <v>4</v>
      </c>
      <c r="C17">
        <v>14</v>
      </c>
      <c r="D17">
        <v>5</v>
      </c>
      <c r="E17">
        <v>14</v>
      </c>
      <c r="F17">
        <v>0</v>
      </c>
      <c r="G17">
        <v>5</v>
      </c>
      <c r="H17">
        <v>7</v>
      </c>
      <c r="I17">
        <v>15</v>
      </c>
      <c r="J17">
        <v>5</v>
      </c>
      <c r="K17">
        <v>12</v>
      </c>
      <c r="L17">
        <v>7</v>
      </c>
      <c r="M17">
        <v>4</v>
      </c>
      <c r="N17">
        <v>11</v>
      </c>
      <c r="O17">
        <v>14</v>
      </c>
      <c r="P17">
        <v>8</v>
      </c>
      <c r="Q17">
        <v>15</v>
      </c>
      <c r="R17" s="1">
        <f t="shared" si="2"/>
        <v>198</v>
      </c>
      <c r="S17" s="1">
        <f t="shared" si="3"/>
        <v>199</v>
      </c>
      <c r="T17" s="1">
        <f t="shared" si="4"/>
        <v>200</v>
      </c>
      <c r="U17" s="1">
        <f t="shared" si="5"/>
        <v>201</v>
      </c>
      <c r="V17" s="1">
        <f t="shared" si="6"/>
        <v>202</v>
      </c>
      <c r="W17" s="1">
        <f t="shared" si="7"/>
        <v>203</v>
      </c>
      <c r="X17" s="1">
        <f t="shared" si="8"/>
        <v>204</v>
      </c>
      <c r="Y17" s="1">
        <f t="shared" si="9"/>
        <v>205</v>
      </c>
      <c r="Z17" s="1">
        <f t="shared" si="10"/>
        <v>206</v>
      </c>
      <c r="AA17" s="1">
        <f t="shared" si="11"/>
        <v>207</v>
      </c>
      <c r="AB17" s="1">
        <f t="shared" si="12"/>
        <v>208</v>
      </c>
      <c r="AC17" s="1">
        <f t="shared" si="13"/>
        <v>209</v>
      </c>
      <c r="AD17" s="1">
        <f t="shared" si="14"/>
        <v>210</v>
      </c>
      <c r="AE17" s="1">
        <f t="shared" si="15"/>
        <v>211</v>
      </c>
      <c r="AF17" s="1">
        <f t="shared" si="16"/>
        <v>212</v>
      </c>
      <c r="AG17" s="1">
        <f t="shared" si="17"/>
        <v>213</v>
      </c>
      <c r="AI17" s="1">
        <f t="shared" ref="AI17:AL17" si="22">AI10-$AN$7</f>
        <v>-120</v>
      </c>
      <c r="AJ17" s="1">
        <f t="shared" si="22"/>
        <v>-115</v>
      </c>
      <c r="AK17" s="1">
        <f t="shared" si="22"/>
        <v>-122</v>
      </c>
      <c r="AL17" s="1">
        <f t="shared" si="22"/>
        <v>-123</v>
      </c>
      <c r="AO17" s="16"/>
      <c r="AP17" s="16"/>
      <c r="AQ17" s="16"/>
      <c r="AR17" s="16"/>
      <c r="AS17" s="16"/>
      <c r="AT17" s="16"/>
      <c r="AU17" s="16"/>
    </row>
    <row r="18" spans="2:47" x14ac:dyDescent="0.25">
      <c r="B18" s="2">
        <f t="shared" ref="B5:B33" si="23">MOD(B17+32,256)</f>
        <v>36</v>
      </c>
      <c r="C18" s="2">
        <f t="shared" ref="C5:C33" si="24">MOD(C17+32,256)</f>
        <v>46</v>
      </c>
      <c r="D18" s="2">
        <f t="shared" ref="D5:D33" si="25">MOD(D17+32,256)</f>
        <v>37</v>
      </c>
      <c r="E18" s="2">
        <f t="shared" ref="E5:E33" si="26">MOD(E17+32,256)</f>
        <v>46</v>
      </c>
      <c r="F18" s="2">
        <f t="shared" ref="F5:F33" si="27">MOD(F17+32,256)</f>
        <v>32</v>
      </c>
      <c r="G18" s="2">
        <f t="shared" ref="G5:G33" si="28">MOD(G17+32,256)</f>
        <v>37</v>
      </c>
      <c r="H18" s="2">
        <f t="shared" ref="H5:H33" si="29">MOD(H17+32,256)</f>
        <v>39</v>
      </c>
      <c r="I18" s="2">
        <f t="shared" ref="I5:I33" si="30">MOD(I17+32,256)</f>
        <v>47</v>
      </c>
      <c r="J18" s="2">
        <f t="shared" ref="J5:J33" si="31">MOD(J17+32,256)</f>
        <v>37</v>
      </c>
      <c r="K18" s="2">
        <f t="shared" ref="K5:K33" si="32">MOD(K17+32,256)</f>
        <v>44</v>
      </c>
      <c r="L18" s="2">
        <f t="shared" ref="L5:L33" si="33">MOD(L17+32,256)</f>
        <v>39</v>
      </c>
      <c r="M18" s="2">
        <f t="shared" ref="M5:M33" si="34">MOD(M17+32,256)</f>
        <v>36</v>
      </c>
      <c r="N18" s="2">
        <f t="shared" ref="N5:N33" si="35">MOD(N17+32,256)</f>
        <v>43</v>
      </c>
      <c r="O18" s="2">
        <f t="shared" ref="O5:O33" si="36">MOD(O17+32,256)</f>
        <v>46</v>
      </c>
      <c r="P18" s="2">
        <f t="shared" ref="P5:P33" si="37">MOD(P17+32,256)</f>
        <v>40</v>
      </c>
      <c r="Q18" s="2">
        <f t="shared" ref="Q5:Q33" si="38">MOD(Q17+32,256)</f>
        <v>47</v>
      </c>
      <c r="R18" s="3">
        <f t="shared" si="2"/>
        <v>230</v>
      </c>
      <c r="S18" s="3">
        <f t="shared" si="3"/>
        <v>231</v>
      </c>
      <c r="T18" s="3">
        <f t="shared" si="4"/>
        <v>232</v>
      </c>
      <c r="U18" s="3">
        <f t="shared" si="5"/>
        <v>233</v>
      </c>
      <c r="V18" s="3">
        <f t="shared" si="6"/>
        <v>234</v>
      </c>
      <c r="W18" s="3">
        <f t="shared" si="7"/>
        <v>235</v>
      </c>
      <c r="X18" s="3">
        <f t="shared" si="8"/>
        <v>236</v>
      </c>
      <c r="Y18" s="3">
        <f t="shared" si="9"/>
        <v>237</v>
      </c>
      <c r="Z18" s="3">
        <f t="shared" si="10"/>
        <v>238</v>
      </c>
      <c r="AA18" s="3">
        <f t="shared" si="11"/>
        <v>239</v>
      </c>
      <c r="AB18" s="3">
        <f t="shared" si="12"/>
        <v>240</v>
      </c>
      <c r="AC18" s="3">
        <f t="shared" si="13"/>
        <v>241</v>
      </c>
      <c r="AD18" s="3">
        <f t="shared" si="14"/>
        <v>242</v>
      </c>
      <c r="AE18" s="3">
        <f t="shared" si="15"/>
        <v>243</v>
      </c>
      <c r="AF18" s="3">
        <f t="shared" si="16"/>
        <v>244</v>
      </c>
      <c r="AG18" s="3">
        <f t="shared" si="17"/>
        <v>245</v>
      </c>
      <c r="AO18" s="42" t="s">
        <v>24</v>
      </c>
      <c r="AP18" s="42"/>
      <c r="AQ18" s="42"/>
      <c r="AR18" s="42"/>
      <c r="AS18" s="16"/>
      <c r="AT18" s="16"/>
      <c r="AU18" s="16"/>
    </row>
    <row r="19" spans="2:47" x14ac:dyDescent="0.25">
      <c r="B19" s="2">
        <f t="shared" si="23"/>
        <v>68</v>
      </c>
      <c r="C19" s="2">
        <f t="shared" si="24"/>
        <v>78</v>
      </c>
      <c r="D19" s="2">
        <f t="shared" si="25"/>
        <v>69</v>
      </c>
      <c r="E19" s="2">
        <f t="shared" si="26"/>
        <v>78</v>
      </c>
      <c r="F19" s="2">
        <f t="shared" si="27"/>
        <v>64</v>
      </c>
      <c r="G19" s="2">
        <f t="shared" si="28"/>
        <v>69</v>
      </c>
      <c r="H19" s="2">
        <f t="shared" si="29"/>
        <v>71</v>
      </c>
      <c r="I19" s="2">
        <f t="shared" si="30"/>
        <v>79</v>
      </c>
      <c r="J19" s="2">
        <f t="shared" si="31"/>
        <v>69</v>
      </c>
      <c r="K19" s="2">
        <f t="shared" si="32"/>
        <v>76</v>
      </c>
      <c r="L19" s="2">
        <f t="shared" si="33"/>
        <v>71</v>
      </c>
      <c r="M19" s="2">
        <f t="shared" si="34"/>
        <v>68</v>
      </c>
      <c r="N19" s="2">
        <f t="shared" si="35"/>
        <v>75</v>
      </c>
      <c r="O19" s="2">
        <f t="shared" si="36"/>
        <v>78</v>
      </c>
      <c r="P19" s="2">
        <f t="shared" si="37"/>
        <v>72</v>
      </c>
      <c r="Q19" s="2">
        <f t="shared" si="38"/>
        <v>79</v>
      </c>
      <c r="R19" s="3">
        <f t="shared" si="2"/>
        <v>6</v>
      </c>
      <c r="S19" s="3">
        <f t="shared" si="3"/>
        <v>7</v>
      </c>
      <c r="T19" s="3">
        <f t="shared" si="4"/>
        <v>8</v>
      </c>
      <c r="U19" s="3">
        <f t="shared" si="5"/>
        <v>9</v>
      </c>
      <c r="V19" s="3">
        <f t="shared" si="6"/>
        <v>10</v>
      </c>
      <c r="W19" s="3">
        <f t="shared" si="7"/>
        <v>11</v>
      </c>
      <c r="X19" s="3">
        <f t="shared" si="8"/>
        <v>12</v>
      </c>
      <c r="Y19" s="3">
        <f t="shared" si="9"/>
        <v>13</v>
      </c>
      <c r="Z19" s="3">
        <f t="shared" si="10"/>
        <v>14</v>
      </c>
      <c r="AA19" s="3">
        <f t="shared" si="11"/>
        <v>15</v>
      </c>
      <c r="AB19" s="3">
        <f t="shared" si="12"/>
        <v>16</v>
      </c>
      <c r="AC19" s="3">
        <f t="shared" si="13"/>
        <v>17</v>
      </c>
      <c r="AD19" s="3">
        <f t="shared" si="14"/>
        <v>18</v>
      </c>
      <c r="AE19" s="3">
        <f t="shared" si="15"/>
        <v>19</v>
      </c>
      <c r="AF19" s="3">
        <f t="shared" si="16"/>
        <v>20</v>
      </c>
      <c r="AG19" s="3">
        <f t="shared" si="17"/>
        <v>21</v>
      </c>
      <c r="AI19" s="3">
        <f t="array" ref="AI19:AL22">MMULT(AI2:AL5,AI14:AL17)</f>
        <v>-489</v>
      </c>
      <c r="AJ19" s="3">
        <v>-478</v>
      </c>
      <c r="AK19" s="3">
        <v>-467</v>
      </c>
      <c r="AL19" s="3">
        <v>-484</v>
      </c>
      <c r="AO19" s="43"/>
      <c r="AP19" s="43" t="s">
        <v>9</v>
      </c>
      <c r="AQ19" s="43" t="s">
        <v>10</v>
      </c>
      <c r="AR19" s="43" t="s">
        <v>11</v>
      </c>
      <c r="AS19" s="16"/>
      <c r="AT19" s="16"/>
      <c r="AU19" s="16"/>
    </row>
    <row r="20" spans="2:47" x14ac:dyDescent="0.25">
      <c r="B20" s="2">
        <f t="shared" si="23"/>
        <v>100</v>
      </c>
      <c r="C20" s="2">
        <f t="shared" si="24"/>
        <v>110</v>
      </c>
      <c r="D20" s="2">
        <f t="shared" si="25"/>
        <v>101</v>
      </c>
      <c r="E20" s="2">
        <f t="shared" si="26"/>
        <v>110</v>
      </c>
      <c r="F20" s="2">
        <f t="shared" si="27"/>
        <v>96</v>
      </c>
      <c r="G20" s="2">
        <f t="shared" si="28"/>
        <v>101</v>
      </c>
      <c r="H20" s="2">
        <f t="shared" si="29"/>
        <v>103</v>
      </c>
      <c r="I20" s="2">
        <f t="shared" si="30"/>
        <v>111</v>
      </c>
      <c r="J20" s="2">
        <f t="shared" si="31"/>
        <v>101</v>
      </c>
      <c r="K20" s="2">
        <f t="shared" si="32"/>
        <v>108</v>
      </c>
      <c r="L20" s="2">
        <f t="shared" si="33"/>
        <v>103</v>
      </c>
      <c r="M20" s="2">
        <f t="shared" si="34"/>
        <v>100</v>
      </c>
      <c r="N20" s="2">
        <f t="shared" si="35"/>
        <v>107</v>
      </c>
      <c r="O20" s="2">
        <f t="shared" si="36"/>
        <v>110</v>
      </c>
      <c r="P20" s="2">
        <f t="shared" si="37"/>
        <v>104</v>
      </c>
      <c r="Q20" s="2">
        <f t="shared" si="38"/>
        <v>111</v>
      </c>
      <c r="R20" s="3">
        <f t="shared" si="2"/>
        <v>38</v>
      </c>
      <c r="S20" s="3">
        <f t="shared" si="3"/>
        <v>39</v>
      </c>
      <c r="T20" s="3">
        <f t="shared" si="4"/>
        <v>40</v>
      </c>
      <c r="U20" s="3">
        <f t="shared" si="5"/>
        <v>41</v>
      </c>
      <c r="V20" s="3">
        <f t="shared" si="6"/>
        <v>42</v>
      </c>
      <c r="W20" s="3">
        <f t="shared" si="7"/>
        <v>43</v>
      </c>
      <c r="X20" s="3">
        <f t="shared" si="8"/>
        <v>44</v>
      </c>
      <c r="Y20" s="3">
        <f t="shared" si="9"/>
        <v>45</v>
      </c>
      <c r="Z20" s="3">
        <f t="shared" si="10"/>
        <v>46</v>
      </c>
      <c r="AA20" s="3">
        <f t="shared" si="11"/>
        <v>47</v>
      </c>
      <c r="AB20" s="3">
        <f t="shared" si="12"/>
        <v>48</v>
      </c>
      <c r="AC20" s="3">
        <f t="shared" si="13"/>
        <v>49</v>
      </c>
      <c r="AD20" s="3">
        <f t="shared" si="14"/>
        <v>50</v>
      </c>
      <c r="AE20" s="3">
        <f t="shared" si="15"/>
        <v>51</v>
      </c>
      <c r="AF20" s="3">
        <f t="shared" si="16"/>
        <v>52</v>
      </c>
      <c r="AG20" s="3">
        <f t="shared" si="17"/>
        <v>53</v>
      </c>
      <c r="AI20" s="3">
        <v>-5</v>
      </c>
      <c r="AJ20" s="3">
        <v>-12</v>
      </c>
      <c r="AK20" s="3">
        <v>9</v>
      </c>
      <c r="AL20" s="3">
        <v>14</v>
      </c>
      <c r="AO20" s="43">
        <v>0</v>
      </c>
      <c r="AP20" s="43">
        <v>10</v>
      </c>
      <c r="AQ20" s="43">
        <v>16</v>
      </c>
      <c r="AR20" s="43">
        <v>13</v>
      </c>
      <c r="AS20" s="16"/>
      <c r="AT20" s="16"/>
      <c r="AU20" s="16"/>
    </row>
    <row r="21" spans="2:47" x14ac:dyDescent="0.25">
      <c r="B21" s="2">
        <f t="shared" si="23"/>
        <v>132</v>
      </c>
      <c r="C21" s="2">
        <f t="shared" si="24"/>
        <v>142</v>
      </c>
      <c r="D21" s="2">
        <f t="shared" si="25"/>
        <v>133</v>
      </c>
      <c r="E21" s="2">
        <f t="shared" si="26"/>
        <v>142</v>
      </c>
      <c r="F21" s="2">
        <f t="shared" si="27"/>
        <v>128</v>
      </c>
      <c r="G21" s="2">
        <f t="shared" si="28"/>
        <v>133</v>
      </c>
      <c r="H21" s="2">
        <f t="shared" si="29"/>
        <v>135</v>
      </c>
      <c r="I21" s="2">
        <f t="shared" si="30"/>
        <v>143</v>
      </c>
      <c r="J21" s="2">
        <f t="shared" si="31"/>
        <v>133</v>
      </c>
      <c r="K21" s="2">
        <f t="shared" si="32"/>
        <v>140</v>
      </c>
      <c r="L21" s="2">
        <f t="shared" si="33"/>
        <v>135</v>
      </c>
      <c r="M21" s="2">
        <f t="shared" si="34"/>
        <v>132</v>
      </c>
      <c r="N21" s="2">
        <f t="shared" si="35"/>
        <v>139</v>
      </c>
      <c r="O21" s="2">
        <f t="shared" si="36"/>
        <v>142</v>
      </c>
      <c r="P21" s="2">
        <f t="shared" si="37"/>
        <v>136</v>
      </c>
      <c r="Q21" s="2">
        <f t="shared" si="38"/>
        <v>143</v>
      </c>
      <c r="R21" s="3">
        <f t="shared" si="2"/>
        <v>70</v>
      </c>
      <c r="S21" s="3">
        <f t="shared" si="3"/>
        <v>71</v>
      </c>
      <c r="T21" s="3">
        <f t="shared" si="4"/>
        <v>72</v>
      </c>
      <c r="U21" s="3">
        <f t="shared" si="5"/>
        <v>73</v>
      </c>
      <c r="V21" s="3">
        <f t="shared" si="6"/>
        <v>74</v>
      </c>
      <c r="W21" s="3">
        <f t="shared" si="7"/>
        <v>75</v>
      </c>
      <c r="X21" s="3">
        <f t="shared" si="8"/>
        <v>76</v>
      </c>
      <c r="Y21" s="3">
        <f t="shared" si="9"/>
        <v>77</v>
      </c>
      <c r="Z21" s="3">
        <f t="shared" si="10"/>
        <v>78</v>
      </c>
      <c r="AA21" s="3">
        <f t="shared" si="11"/>
        <v>79</v>
      </c>
      <c r="AB21" s="3">
        <f t="shared" si="12"/>
        <v>80</v>
      </c>
      <c r="AC21" s="3">
        <f t="shared" si="13"/>
        <v>81</v>
      </c>
      <c r="AD21" s="3">
        <f t="shared" si="14"/>
        <v>82</v>
      </c>
      <c r="AE21" s="3">
        <f t="shared" si="15"/>
        <v>83</v>
      </c>
      <c r="AF21" s="3">
        <f t="shared" si="16"/>
        <v>84</v>
      </c>
      <c r="AG21" s="3">
        <f t="shared" si="17"/>
        <v>85</v>
      </c>
      <c r="AI21" s="3">
        <v>5</v>
      </c>
      <c r="AJ21" s="3">
        <v>2</v>
      </c>
      <c r="AK21" s="3">
        <v>-7</v>
      </c>
      <c r="AL21" s="3">
        <v>4</v>
      </c>
      <c r="AO21" s="43">
        <v>1</v>
      </c>
      <c r="AP21" s="43">
        <v>11</v>
      </c>
      <c r="AQ21" s="43">
        <v>18</v>
      </c>
      <c r="AR21" s="43">
        <v>14</v>
      </c>
      <c r="AS21" s="16"/>
      <c r="AT21" s="16"/>
      <c r="AU21" s="16"/>
    </row>
    <row r="22" spans="2:47" x14ac:dyDescent="0.25">
      <c r="B22" s="2">
        <f t="shared" si="23"/>
        <v>164</v>
      </c>
      <c r="C22" s="2">
        <f t="shared" si="24"/>
        <v>174</v>
      </c>
      <c r="D22" s="2">
        <f t="shared" si="25"/>
        <v>165</v>
      </c>
      <c r="E22" s="2">
        <f t="shared" si="26"/>
        <v>174</v>
      </c>
      <c r="F22" s="2">
        <f t="shared" si="27"/>
        <v>160</v>
      </c>
      <c r="G22" s="2">
        <f t="shared" si="28"/>
        <v>165</v>
      </c>
      <c r="H22" s="2">
        <f t="shared" si="29"/>
        <v>167</v>
      </c>
      <c r="I22" s="2">
        <f t="shared" si="30"/>
        <v>175</v>
      </c>
      <c r="J22" s="2">
        <f t="shared" si="31"/>
        <v>165</v>
      </c>
      <c r="K22" s="2">
        <f t="shared" si="32"/>
        <v>172</v>
      </c>
      <c r="L22" s="2">
        <f t="shared" si="33"/>
        <v>167</v>
      </c>
      <c r="M22" s="2">
        <f t="shared" si="34"/>
        <v>164</v>
      </c>
      <c r="N22" s="2">
        <f t="shared" si="35"/>
        <v>171</v>
      </c>
      <c r="O22" s="2">
        <f t="shared" si="36"/>
        <v>174</v>
      </c>
      <c r="P22" s="2">
        <f t="shared" si="37"/>
        <v>168</v>
      </c>
      <c r="Q22" s="2">
        <f t="shared" si="38"/>
        <v>175</v>
      </c>
      <c r="R22" s="3">
        <f t="shared" si="2"/>
        <v>102</v>
      </c>
      <c r="S22" s="3">
        <f t="shared" si="3"/>
        <v>103</v>
      </c>
      <c r="T22" s="3">
        <f t="shared" si="4"/>
        <v>104</v>
      </c>
      <c r="U22" s="3">
        <f t="shared" si="5"/>
        <v>105</v>
      </c>
      <c r="V22" s="3">
        <f t="shared" si="6"/>
        <v>106</v>
      </c>
      <c r="W22" s="3">
        <f t="shared" si="7"/>
        <v>107</v>
      </c>
      <c r="X22" s="3">
        <f t="shared" si="8"/>
        <v>108</v>
      </c>
      <c r="Y22" s="3">
        <f t="shared" si="9"/>
        <v>109</v>
      </c>
      <c r="Z22" s="3">
        <f t="shared" si="10"/>
        <v>110</v>
      </c>
      <c r="AA22" s="3">
        <f t="shared" si="11"/>
        <v>111</v>
      </c>
      <c r="AB22" s="3">
        <f t="shared" si="12"/>
        <v>112</v>
      </c>
      <c r="AC22" s="3">
        <f t="shared" si="13"/>
        <v>113</v>
      </c>
      <c r="AD22" s="3">
        <f t="shared" si="14"/>
        <v>114</v>
      </c>
      <c r="AE22" s="3">
        <f t="shared" si="15"/>
        <v>115</v>
      </c>
      <c r="AF22" s="3">
        <f t="shared" si="16"/>
        <v>116</v>
      </c>
      <c r="AG22" s="3">
        <f t="shared" si="17"/>
        <v>117</v>
      </c>
      <c r="AI22" s="3">
        <v>1</v>
      </c>
      <c r="AJ22" s="3">
        <v>-4</v>
      </c>
      <c r="AK22" s="3">
        <v>5</v>
      </c>
      <c r="AL22" s="3">
        <v>-2</v>
      </c>
      <c r="AO22" s="43">
        <v>2</v>
      </c>
      <c r="AP22" s="43">
        <v>13</v>
      </c>
      <c r="AQ22" s="43">
        <v>20</v>
      </c>
      <c r="AR22" s="43">
        <v>16</v>
      </c>
      <c r="AS22" s="16"/>
      <c r="AT22" s="16"/>
      <c r="AU22" s="16"/>
    </row>
    <row r="23" spans="2:47" x14ac:dyDescent="0.25">
      <c r="B23" s="2">
        <f t="shared" si="23"/>
        <v>196</v>
      </c>
      <c r="C23" s="2">
        <f t="shared" si="24"/>
        <v>206</v>
      </c>
      <c r="D23" s="2">
        <f t="shared" si="25"/>
        <v>197</v>
      </c>
      <c r="E23" s="2">
        <f t="shared" si="26"/>
        <v>206</v>
      </c>
      <c r="F23" s="2">
        <f t="shared" si="27"/>
        <v>192</v>
      </c>
      <c r="G23" s="2">
        <f t="shared" si="28"/>
        <v>197</v>
      </c>
      <c r="H23" s="2">
        <f t="shared" si="29"/>
        <v>199</v>
      </c>
      <c r="I23" s="2">
        <f t="shared" si="30"/>
        <v>207</v>
      </c>
      <c r="J23" s="2">
        <f t="shared" si="31"/>
        <v>197</v>
      </c>
      <c r="K23" s="2">
        <f t="shared" si="32"/>
        <v>204</v>
      </c>
      <c r="L23" s="2">
        <f t="shared" si="33"/>
        <v>199</v>
      </c>
      <c r="M23" s="2">
        <f t="shared" si="34"/>
        <v>196</v>
      </c>
      <c r="N23" s="2">
        <f t="shared" si="35"/>
        <v>203</v>
      </c>
      <c r="O23" s="2">
        <f t="shared" si="36"/>
        <v>206</v>
      </c>
      <c r="P23" s="2">
        <f t="shared" si="37"/>
        <v>200</v>
      </c>
      <c r="Q23" s="2">
        <f t="shared" si="38"/>
        <v>207</v>
      </c>
      <c r="R23" s="3">
        <f t="shared" si="2"/>
        <v>134</v>
      </c>
      <c r="S23" s="3">
        <f t="shared" si="3"/>
        <v>135</v>
      </c>
      <c r="T23" s="3">
        <f t="shared" si="4"/>
        <v>136</v>
      </c>
      <c r="U23" s="3">
        <f t="shared" si="5"/>
        <v>137</v>
      </c>
      <c r="V23" s="3">
        <f t="shared" si="6"/>
        <v>138</v>
      </c>
      <c r="W23" s="3">
        <f t="shared" si="7"/>
        <v>139</v>
      </c>
      <c r="X23" s="3">
        <f t="shared" si="8"/>
        <v>140</v>
      </c>
      <c r="Y23" s="3">
        <f t="shared" si="9"/>
        <v>141</v>
      </c>
      <c r="Z23" s="3">
        <f t="shared" si="10"/>
        <v>142</v>
      </c>
      <c r="AA23" s="3">
        <f t="shared" si="11"/>
        <v>143</v>
      </c>
      <c r="AB23" s="3">
        <f t="shared" si="12"/>
        <v>144</v>
      </c>
      <c r="AC23" s="3">
        <f t="shared" si="13"/>
        <v>145</v>
      </c>
      <c r="AD23" s="3">
        <f t="shared" si="14"/>
        <v>146</v>
      </c>
      <c r="AE23" s="3">
        <f t="shared" si="15"/>
        <v>147</v>
      </c>
      <c r="AF23" s="3">
        <f t="shared" si="16"/>
        <v>148</v>
      </c>
      <c r="AG23" s="3">
        <f t="shared" si="17"/>
        <v>149</v>
      </c>
      <c r="AO23" s="43">
        <v>3</v>
      </c>
      <c r="AP23" s="43">
        <v>14</v>
      </c>
      <c r="AQ23" s="43">
        <v>23</v>
      </c>
      <c r="AR23" s="43">
        <v>18</v>
      </c>
      <c r="AS23" s="16"/>
      <c r="AT23" s="16"/>
      <c r="AU23" s="16"/>
    </row>
    <row r="24" spans="2:47" x14ac:dyDescent="0.25">
      <c r="B24" s="2">
        <f t="shared" si="23"/>
        <v>228</v>
      </c>
      <c r="C24" s="2">
        <f t="shared" si="24"/>
        <v>238</v>
      </c>
      <c r="D24" s="2">
        <f t="shared" si="25"/>
        <v>229</v>
      </c>
      <c r="E24" s="2">
        <f t="shared" si="26"/>
        <v>238</v>
      </c>
      <c r="F24" s="2">
        <f t="shared" si="27"/>
        <v>224</v>
      </c>
      <c r="G24" s="2">
        <f t="shared" si="28"/>
        <v>229</v>
      </c>
      <c r="H24" s="2">
        <f t="shared" si="29"/>
        <v>231</v>
      </c>
      <c r="I24" s="2">
        <f t="shared" si="30"/>
        <v>239</v>
      </c>
      <c r="J24" s="2">
        <f t="shared" si="31"/>
        <v>229</v>
      </c>
      <c r="K24" s="2">
        <f t="shared" si="32"/>
        <v>236</v>
      </c>
      <c r="L24" s="2">
        <f t="shared" si="33"/>
        <v>231</v>
      </c>
      <c r="M24" s="2">
        <f t="shared" si="34"/>
        <v>228</v>
      </c>
      <c r="N24" s="2">
        <f t="shared" si="35"/>
        <v>235</v>
      </c>
      <c r="O24" s="2">
        <f t="shared" si="36"/>
        <v>238</v>
      </c>
      <c r="P24" s="2">
        <f t="shared" si="37"/>
        <v>232</v>
      </c>
      <c r="Q24" s="2">
        <f t="shared" si="38"/>
        <v>239</v>
      </c>
      <c r="R24" s="3">
        <f t="shared" si="2"/>
        <v>166</v>
      </c>
      <c r="S24" s="3">
        <f t="shared" si="3"/>
        <v>167</v>
      </c>
      <c r="T24" s="3">
        <f t="shared" si="4"/>
        <v>168</v>
      </c>
      <c r="U24" s="3">
        <f t="shared" si="5"/>
        <v>169</v>
      </c>
      <c r="V24" s="3">
        <f t="shared" si="6"/>
        <v>170</v>
      </c>
      <c r="W24" s="3">
        <f t="shared" si="7"/>
        <v>171</v>
      </c>
      <c r="X24" s="3">
        <f t="shared" si="8"/>
        <v>172</v>
      </c>
      <c r="Y24" s="3">
        <f t="shared" si="9"/>
        <v>173</v>
      </c>
      <c r="Z24" s="3">
        <f t="shared" si="10"/>
        <v>174</v>
      </c>
      <c r="AA24" s="3">
        <f t="shared" si="11"/>
        <v>175</v>
      </c>
      <c r="AB24" s="3">
        <f t="shared" si="12"/>
        <v>176</v>
      </c>
      <c r="AC24" s="3">
        <f t="shared" si="13"/>
        <v>177</v>
      </c>
      <c r="AD24" s="3">
        <f t="shared" si="14"/>
        <v>178</v>
      </c>
      <c r="AE24" s="3">
        <f t="shared" si="15"/>
        <v>179</v>
      </c>
      <c r="AF24" s="3">
        <f t="shared" si="16"/>
        <v>180</v>
      </c>
      <c r="AG24" s="3">
        <f t="shared" si="17"/>
        <v>181</v>
      </c>
      <c r="AI24" s="37" t="s">
        <v>6</v>
      </c>
      <c r="AJ24" s="37"/>
      <c r="AK24" s="37"/>
      <c r="AL24" s="37"/>
      <c r="AO24" s="43">
        <v>4</v>
      </c>
      <c r="AP24" s="43">
        <v>16</v>
      </c>
      <c r="AQ24" s="43">
        <v>25</v>
      </c>
      <c r="AR24" s="43">
        <v>20</v>
      </c>
      <c r="AS24" s="16"/>
      <c r="AT24" s="16"/>
      <c r="AU24" s="16"/>
    </row>
    <row r="25" spans="2:47" x14ac:dyDescent="0.25">
      <c r="B25" s="2">
        <f t="shared" si="23"/>
        <v>4</v>
      </c>
      <c r="C25" s="2">
        <f t="shared" si="24"/>
        <v>14</v>
      </c>
      <c r="D25" s="2">
        <f t="shared" si="25"/>
        <v>5</v>
      </c>
      <c r="E25" s="2">
        <f t="shared" si="26"/>
        <v>14</v>
      </c>
      <c r="F25" s="2">
        <f t="shared" si="27"/>
        <v>0</v>
      </c>
      <c r="G25" s="2">
        <f t="shared" si="28"/>
        <v>5</v>
      </c>
      <c r="H25" s="2">
        <f t="shared" si="29"/>
        <v>7</v>
      </c>
      <c r="I25" s="2">
        <f t="shared" si="30"/>
        <v>15</v>
      </c>
      <c r="J25" s="2">
        <f t="shared" si="31"/>
        <v>5</v>
      </c>
      <c r="K25" s="2">
        <f t="shared" si="32"/>
        <v>12</v>
      </c>
      <c r="L25" s="2">
        <f t="shared" si="33"/>
        <v>7</v>
      </c>
      <c r="M25" s="2">
        <f t="shared" si="34"/>
        <v>4</v>
      </c>
      <c r="N25" s="2">
        <f t="shared" si="35"/>
        <v>11</v>
      </c>
      <c r="O25" s="2">
        <f t="shared" si="36"/>
        <v>14</v>
      </c>
      <c r="P25" s="2">
        <f t="shared" si="37"/>
        <v>8</v>
      </c>
      <c r="Q25" s="2">
        <f t="shared" si="38"/>
        <v>15</v>
      </c>
      <c r="R25" s="3">
        <f t="shared" si="2"/>
        <v>198</v>
      </c>
      <c r="S25" s="3">
        <f t="shared" si="3"/>
        <v>199</v>
      </c>
      <c r="T25" s="3">
        <f t="shared" si="4"/>
        <v>200</v>
      </c>
      <c r="U25" s="3">
        <f t="shared" si="5"/>
        <v>201</v>
      </c>
      <c r="V25" s="3">
        <f t="shared" si="6"/>
        <v>202</v>
      </c>
      <c r="W25" s="3">
        <f t="shared" si="7"/>
        <v>203</v>
      </c>
      <c r="X25" s="3">
        <f t="shared" si="8"/>
        <v>204</v>
      </c>
      <c r="Y25" s="3">
        <f t="shared" si="9"/>
        <v>205</v>
      </c>
      <c r="Z25" s="3">
        <f t="shared" si="10"/>
        <v>206</v>
      </c>
      <c r="AA25" s="3">
        <f t="shared" si="11"/>
        <v>207</v>
      </c>
      <c r="AB25" s="3">
        <f t="shared" si="12"/>
        <v>208</v>
      </c>
      <c r="AC25" s="3">
        <f t="shared" si="13"/>
        <v>209</v>
      </c>
      <c r="AD25" s="3">
        <f t="shared" si="14"/>
        <v>210</v>
      </c>
      <c r="AE25" s="3">
        <f t="shared" si="15"/>
        <v>211</v>
      </c>
      <c r="AF25" s="3">
        <f t="shared" si="16"/>
        <v>212</v>
      </c>
      <c r="AG25" s="3">
        <f t="shared" si="17"/>
        <v>213</v>
      </c>
      <c r="AI25" s="3">
        <f t="array" ref="AI25:AL28">MMULT(AI19:AL22,AI2:AL5)</f>
        <v>-1918</v>
      </c>
      <c r="AJ25" s="3">
        <v>-16</v>
      </c>
      <c r="AK25" s="3">
        <v>-28</v>
      </c>
      <c r="AL25" s="3">
        <v>6</v>
      </c>
      <c r="AO25" s="43">
        <v>5</v>
      </c>
      <c r="AP25" s="43">
        <v>18</v>
      </c>
      <c r="AQ25" s="43">
        <v>29</v>
      </c>
      <c r="AR25" s="43">
        <v>23</v>
      </c>
      <c r="AS25" s="16"/>
      <c r="AT25" s="16"/>
      <c r="AU25" s="16"/>
    </row>
    <row r="26" spans="2:47" x14ac:dyDescent="0.25">
      <c r="B26" s="2">
        <f t="shared" si="23"/>
        <v>36</v>
      </c>
      <c r="C26" s="2">
        <f t="shared" si="24"/>
        <v>46</v>
      </c>
      <c r="D26" s="2">
        <f t="shared" si="25"/>
        <v>37</v>
      </c>
      <c r="E26" s="2">
        <f t="shared" si="26"/>
        <v>46</v>
      </c>
      <c r="F26" s="2">
        <f t="shared" si="27"/>
        <v>32</v>
      </c>
      <c r="G26" s="2">
        <f t="shared" si="28"/>
        <v>37</v>
      </c>
      <c r="H26" s="2">
        <f t="shared" si="29"/>
        <v>39</v>
      </c>
      <c r="I26" s="2">
        <f t="shared" si="30"/>
        <v>47</v>
      </c>
      <c r="J26" s="2">
        <f t="shared" si="31"/>
        <v>37</v>
      </c>
      <c r="K26" s="2">
        <f t="shared" si="32"/>
        <v>44</v>
      </c>
      <c r="L26" s="2">
        <f t="shared" si="33"/>
        <v>39</v>
      </c>
      <c r="M26" s="2">
        <f t="shared" si="34"/>
        <v>36</v>
      </c>
      <c r="N26" s="2">
        <f t="shared" si="35"/>
        <v>43</v>
      </c>
      <c r="O26" s="2">
        <f t="shared" si="36"/>
        <v>46</v>
      </c>
      <c r="P26" s="2">
        <f t="shared" si="37"/>
        <v>40</v>
      </c>
      <c r="Q26" s="2">
        <f t="shared" si="38"/>
        <v>47</v>
      </c>
      <c r="R26" s="3">
        <f t="shared" si="2"/>
        <v>230</v>
      </c>
      <c r="S26" s="3">
        <f t="shared" si="3"/>
        <v>231</v>
      </c>
      <c r="T26" s="3">
        <f t="shared" si="4"/>
        <v>232</v>
      </c>
      <c r="U26" s="3">
        <f t="shared" si="5"/>
        <v>233</v>
      </c>
      <c r="V26" s="3">
        <f t="shared" si="6"/>
        <v>234</v>
      </c>
      <c r="W26" s="3">
        <f t="shared" si="7"/>
        <v>235</v>
      </c>
      <c r="X26" s="3">
        <f t="shared" si="8"/>
        <v>236</v>
      </c>
      <c r="Y26" s="3">
        <f t="shared" si="9"/>
        <v>237</v>
      </c>
      <c r="Z26" s="3">
        <f t="shared" si="10"/>
        <v>238</v>
      </c>
      <c r="AA26" s="3">
        <f t="shared" si="11"/>
        <v>239</v>
      </c>
      <c r="AB26" s="3">
        <f t="shared" si="12"/>
        <v>240</v>
      </c>
      <c r="AC26" s="3">
        <f t="shared" si="13"/>
        <v>241</v>
      </c>
      <c r="AD26" s="3">
        <f t="shared" si="14"/>
        <v>242</v>
      </c>
      <c r="AE26" s="3">
        <f t="shared" si="15"/>
        <v>243</v>
      </c>
      <c r="AF26" s="3">
        <f t="shared" si="16"/>
        <v>244</v>
      </c>
      <c r="AG26" s="3">
        <f t="shared" si="17"/>
        <v>245</v>
      </c>
      <c r="AI26" s="3">
        <v>6</v>
      </c>
      <c r="AJ26" s="3">
        <v>-40</v>
      </c>
      <c r="AK26" s="3">
        <v>12</v>
      </c>
      <c r="AL26" s="3">
        <v>2</v>
      </c>
      <c r="AO26" t="s">
        <v>18</v>
      </c>
      <c r="AP26" t="s">
        <v>9</v>
      </c>
      <c r="AQ26" t="s">
        <v>10</v>
      </c>
      <c r="AR26" t="s">
        <v>11</v>
      </c>
    </row>
    <row r="27" spans="2:47" x14ac:dyDescent="0.25">
      <c r="B27" s="2">
        <f t="shared" si="23"/>
        <v>68</v>
      </c>
      <c r="C27" s="2">
        <f t="shared" si="24"/>
        <v>78</v>
      </c>
      <c r="D27" s="2">
        <f t="shared" si="25"/>
        <v>69</v>
      </c>
      <c r="E27" s="2">
        <f t="shared" si="26"/>
        <v>78</v>
      </c>
      <c r="F27" s="2">
        <f t="shared" si="27"/>
        <v>64</v>
      </c>
      <c r="G27" s="2">
        <f t="shared" si="28"/>
        <v>69</v>
      </c>
      <c r="H27" s="2">
        <f t="shared" si="29"/>
        <v>71</v>
      </c>
      <c r="I27" s="2">
        <f t="shared" si="30"/>
        <v>79</v>
      </c>
      <c r="J27" s="2">
        <f t="shared" si="31"/>
        <v>69</v>
      </c>
      <c r="K27" s="2">
        <f t="shared" si="32"/>
        <v>76</v>
      </c>
      <c r="L27" s="2">
        <f t="shared" si="33"/>
        <v>71</v>
      </c>
      <c r="M27" s="2">
        <f t="shared" si="34"/>
        <v>68</v>
      </c>
      <c r="N27" s="2">
        <f t="shared" si="35"/>
        <v>75</v>
      </c>
      <c r="O27" s="2">
        <f t="shared" si="36"/>
        <v>78</v>
      </c>
      <c r="P27" s="2">
        <f t="shared" si="37"/>
        <v>72</v>
      </c>
      <c r="Q27" s="2">
        <f t="shared" si="38"/>
        <v>79</v>
      </c>
      <c r="R27" s="3">
        <f t="shared" si="2"/>
        <v>6</v>
      </c>
      <c r="S27" s="3">
        <f t="shared" si="3"/>
        <v>7</v>
      </c>
      <c r="T27" s="3">
        <f t="shared" si="4"/>
        <v>8</v>
      </c>
      <c r="U27" s="3">
        <f t="shared" si="5"/>
        <v>9</v>
      </c>
      <c r="V27" s="3">
        <f t="shared" si="6"/>
        <v>10</v>
      </c>
      <c r="W27" s="3">
        <f t="shared" si="7"/>
        <v>11</v>
      </c>
      <c r="X27" s="3">
        <f t="shared" si="8"/>
        <v>12</v>
      </c>
      <c r="Y27" s="3">
        <f t="shared" si="9"/>
        <v>13</v>
      </c>
      <c r="Z27" s="3">
        <f t="shared" si="10"/>
        <v>14</v>
      </c>
      <c r="AA27" s="3">
        <f t="shared" si="11"/>
        <v>15</v>
      </c>
      <c r="AB27" s="3">
        <f t="shared" si="12"/>
        <v>16</v>
      </c>
      <c r="AC27" s="3">
        <f t="shared" si="13"/>
        <v>17</v>
      </c>
      <c r="AD27" s="3">
        <f t="shared" si="14"/>
        <v>18</v>
      </c>
      <c r="AE27" s="3">
        <f t="shared" si="15"/>
        <v>19</v>
      </c>
      <c r="AF27" s="3">
        <f t="shared" si="16"/>
        <v>20</v>
      </c>
      <c r="AG27" s="3">
        <f t="shared" si="17"/>
        <v>21</v>
      </c>
      <c r="AI27" s="3">
        <v>4</v>
      </c>
      <c r="AJ27" s="3">
        <v>10</v>
      </c>
      <c r="AK27" s="3">
        <v>14</v>
      </c>
      <c r="AL27" s="3">
        <v>-8</v>
      </c>
      <c r="AO27">
        <f>AO10</f>
        <v>2</v>
      </c>
      <c r="AP27">
        <f>IF($AO$27=0,AP20,IF($AO$27=1,AP21,IF($AO$27=2,AP22,IF($AO$27=3,AP23,IF($AO$27=4,AP24,AP25)))))</f>
        <v>13</v>
      </c>
      <c r="AQ27">
        <f t="shared" ref="AQ27:AR27" si="39">IF($AO$27=0,AQ20,IF($AO$27=1,AQ21,IF($AO$27=2,AQ22,IF($AO$27=3,AQ23,IF($AO$27=4,AQ24,AQ25)))))</f>
        <v>20</v>
      </c>
      <c r="AR27">
        <f t="shared" si="39"/>
        <v>16</v>
      </c>
    </row>
    <row r="28" spans="2:47" x14ac:dyDescent="0.25">
      <c r="B28" s="2">
        <f t="shared" si="23"/>
        <v>100</v>
      </c>
      <c r="C28" s="2">
        <f t="shared" si="24"/>
        <v>110</v>
      </c>
      <c r="D28" s="2">
        <f t="shared" si="25"/>
        <v>101</v>
      </c>
      <c r="E28" s="2">
        <f t="shared" si="26"/>
        <v>110</v>
      </c>
      <c r="F28" s="2">
        <f t="shared" si="27"/>
        <v>96</v>
      </c>
      <c r="G28" s="2">
        <f t="shared" si="28"/>
        <v>101</v>
      </c>
      <c r="H28" s="2">
        <f t="shared" si="29"/>
        <v>103</v>
      </c>
      <c r="I28" s="2">
        <f t="shared" si="30"/>
        <v>111</v>
      </c>
      <c r="J28" s="2">
        <f t="shared" si="31"/>
        <v>101</v>
      </c>
      <c r="K28" s="2">
        <f t="shared" si="32"/>
        <v>108</v>
      </c>
      <c r="L28" s="2">
        <f t="shared" si="33"/>
        <v>103</v>
      </c>
      <c r="M28" s="2">
        <f t="shared" si="34"/>
        <v>100</v>
      </c>
      <c r="N28" s="2">
        <f t="shared" si="35"/>
        <v>107</v>
      </c>
      <c r="O28" s="2">
        <f t="shared" si="36"/>
        <v>110</v>
      </c>
      <c r="P28" s="2">
        <f t="shared" si="37"/>
        <v>104</v>
      </c>
      <c r="Q28" s="2">
        <f t="shared" si="38"/>
        <v>111</v>
      </c>
      <c r="R28" s="3">
        <f t="shared" si="2"/>
        <v>38</v>
      </c>
      <c r="S28" s="3">
        <f t="shared" si="3"/>
        <v>39</v>
      </c>
      <c r="T28" s="3">
        <f t="shared" si="4"/>
        <v>40</v>
      </c>
      <c r="U28" s="3">
        <f t="shared" si="5"/>
        <v>41</v>
      </c>
      <c r="V28" s="3">
        <f t="shared" si="6"/>
        <v>42</v>
      </c>
      <c r="W28" s="3">
        <f t="shared" si="7"/>
        <v>43</v>
      </c>
      <c r="X28" s="3">
        <f t="shared" si="8"/>
        <v>44</v>
      </c>
      <c r="Y28" s="3">
        <f t="shared" si="9"/>
        <v>45</v>
      </c>
      <c r="Z28" s="3">
        <f t="shared" si="10"/>
        <v>46</v>
      </c>
      <c r="AA28" s="3">
        <f t="shared" si="11"/>
        <v>47</v>
      </c>
      <c r="AB28" s="3">
        <f t="shared" si="12"/>
        <v>48</v>
      </c>
      <c r="AC28" s="3">
        <f t="shared" si="13"/>
        <v>49</v>
      </c>
      <c r="AD28" s="3">
        <f t="shared" si="14"/>
        <v>50</v>
      </c>
      <c r="AE28" s="3">
        <f t="shared" si="15"/>
        <v>51</v>
      </c>
      <c r="AF28" s="3">
        <f t="shared" si="16"/>
        <v>52</v>
      </c>
      <c r="AG28" s="3">
        <f t="shared" si="17"/>
        <v>53</v>
      </c>
      <c r="AI28" s="3">
        <v>0</v>
      </c>
      <c r="AJ28" s="3">
        <v>-6</v>
      </c>
      <c r="AK28" s="3">
        <v>-2</v>
      </c>
      <c r="AL28" s="3">
        <v>12</v>
      </c>
    </row>
    <row r="29" spans="2:47" x14ac:dyDescent="0.25">
      <c r="B29" s="2">
        <f t="shared" si="23"/>
        <v>132</v>
      </c>
      <c r="C29" s="2">
        <f t="shared" si="24"/>
        <v>142</v>
      </c>
      <c r="D29" s="2">
        <f t="shared" si="25"/>
        <v>133</v>
      </c>
      <c r="E29" s="2">
        <f t="shared" si="26"/>
        <v>142</v>
      </c>
      <c r="F29" s="2">
        <f t="shared" si="27"/>
        <v>128</v>
      </c>
      <c r="G29" s="2">
        <f t="shared" si="28"/>
        <v>133</v>
      </c>
      <c r="H29" s="2">
        <f t="shared" si="29"/>
        <v>135</v>
      </c>
      <c r="I29" s="2">
        <f t="shared" si="30"/>
        <v>143</v>
      </c>
      <c r="J29" s="2">
        <f t="shared" si="31"/>
        <v>133</v>
      </c>
      <c r="K29" s="2">
        <f t="shared" si="32"/>
        <v>140</v>
      </c>
      <c r="L29" s="2">
        <f t="shared" si="33"/>
        <v>135</v>
      </c>
      <c r="M29" s="2">
        <f t="shared" si="34"/>
        <v>132</v>
      </c>
      <c r="N29" s="2">
        <f t="shared" si="35"/>
        <v>139</v>
      </c>
      <c r="O29" s="2">
        <f t="shared" si="36"/>
        <v>142</v>
      </c>
      <c r="P29" s="2">
        <f t="shared" si="37"/>
        <v>136</v>
      </c>
      <c r="Q29" s="2">
        <f t="shared" si="38"/>
        <v>143</v>
      </c>
      <c r="R29" s="3">
        <f t="shared" si="2"/>
        <v>70</v>
      </c>
      <c r="S29" s="3">
        <f t="shared" si="3"/>
        <v>71</v>
      </c>
      <c r="T29" s="3">
        <f t="shared" si="4"/>
        <v>72</v>
      </c>
      <c r="U29" s="3">
        <f t="shared" si="5"/>
        <v>73</v>
      </c>
      <c r="V29" s="3">
        <f t="shared" si="6"/>
        <v>74</v>
      </c>
      <c r="W29" s="3">
        <f t="shared" si="7"/>
        <v>75</v>
      </c>
      <c r="X29" s="3">
        <f t="shared" si="8"/>
        <v>76</v>
      </c>
      <c r="Y29" s="3">
        <f t="shared" si="9"/>
        <v>77</v>
      </c>
      <c r="Z29" s="3">
        <f t="shared" si="10"/>
        <v>78</v>
      </c>
      <c r="AA29" s="3">
        <f t="shared" si="11"/>
        <v>79</v>
      </c>
      <c r="AB29" s="3">
        <f t="shared" si="12"/>
        <v>80</v>
      </c>
      <c r="AC29" s="3">
        <f t="shared" si="13"/>
        <v>81</v>
      </c>
      <c r="AD29" s="3">
        <f t="shared" si="14"/>
        <v>82</v>
      </c>
      <c r="AE29" s="3">
        <f t="shared" si="15"/>
        <v>83</v>
      </c>
      <c r="AF29" s="3">
        <f t="shared" si="16"/>
        <v>84</v>
      </c>
      <c r="AG29" s="3">
        <f t="shared" si="17"/>
        <v>85</v>
      </c>
      <c r="AO29" s="44" t="s">
        <v>25</v>
      </c>
      <c r="AP29" s="44"/>
      <c r="AQ29" s="44"/>
      <c r="AR29" s="44"/>
    </row>
    <row r="30" spans="2:47" x14ac:dyDescent="0.25">
      <c r="B30" s="2">
        <f t="shared" si="23"/>
        <v>164</v>
      </c>
      <c r="C30" s="2">
        <f t="shared" si="24"/>
        <v>174</v>
      </c>
      <c r="D30" s="2">
        <f t="shared" si="25"/>
        <v>165</v>
      </c>
      <c r="E30" s="2">
        <f t="shared" si="26"/>
        <v>174</v>
      </c>
      <c r="F30" s="2">
        <f t="shared" si="27"/>
        <v>160</v>
      </c>
      <c r="G30" s="2">
        <f t="shared" si="28"/>
        <v>165</v>
      </c>
      <c r="H30" s="2">
        <f t="shared" si="29"/>
        <v>167</v>
      </c>
      <c r="I30" s="2">
        <f t="shared" si="30"/>
        <v>175</v>
      </c>
      <c r="J30" s="2">
        <f t="shared" si="31"/>
        <v>165</v>
      </c>
      <c r="K30" s="2">
        <f t="shared" si="32"/>
        <v>172</v>
      </c>
      <c r="L30" s="2">
        <f t="shared" si="33"/>
        <v>167</v>
      </c>
      <c r="M30" s="2">
        <f t="shared" si="34"/>
        <v>164</v>
      </c>
      <c r="N30" s="2">
        <f t="shared" si="35"/>
        <v>171</v>
      </c>
      <c r="O30" s="2">
        <f t="shared" si="36"/>
        <v>174</v>
      </c>
      <c r="P30" s="2">
        <f t="shared" si="37"/>
        <v>168</v>
      </c>
      <c r="Q30" s="2">
        <f t="shared" si="38"/>
        <v>175</v>
      </c>
      <c r="R30" s="3">
        <f t="shared" si="2"/>
        <v>102</v>
      </c>
      <c r="S30" s="3">
        <f t="shared" si="3"/>
        <v>103</v>
      </c>
      <c r="T30" s="3">
        <f t="shared" si="4"/>
        <v>104</v>
      </c>
      <c r="U30" s="3">
        <f t="shared" si="5"/>
        <v>105</v>
      </c>
      <c r="V30" s="3">
        <f t="shared" si="6"/>
        <v>106</v>
      </c>
      <c r="W30" s="3">
        <f t="shared" si="7"/>
        <v>107</v>
      </c>
      <c r="X30" s="3">
        <f t="shared" si="8"/>
        <v>108</v>
      </c>
      <c r="Y30" s="3">
        <f t="shared" si="9"/>
        <v>109</v>
      </c>
      <c r="Z30" s="3">
        <f t="shared" si="10"/>
        <v>110</v>
      </c>
      <c r="AA30" s="3">
        <f t="shared" si="11"/>
        <v>111</v>
      </c>
      <c r="AB30" s="3">
        <f t="shared" si="12"/>
        <v>112</v>
      </c>
      <c r="AC30" s="3">
        <f t="shared" si="13"/>
        <v>113</v>
      </c>
      <c r="AD30" s="3">
        <f t="shared" si="14"/>
        <v>114</v>
      </c>
      <c r="AE30" s="3">
        <f t="shared" si="15"/>
        <v>115</v>
      </c>
      <c r="AF30" s="3">
        <f t="shared" si="16"/>
        <v>116</v>
      </c>
      <c r="AG30" s="3">
        <f t="shared" si="17"/>
        <v>117</v>
      </c>
      <c r="AI30" s="39" t="s">
        <v>20</v>
      </c>
      <c r="AJ30" s="39"/>
      <c r="AK30" s="39"/>
      <c r="AL30" s="39"/>
      <c r="AO30" s="45">
        <f>AP27</f>
        <v>13</v>
      </c>
      <c r="AP30" s="45">
        <f>AR27</f>
        <v>16</v>
      </c>
      <c r="AQ30" s="45">
        <f>AP27</f>
        <v>13</v>
      </c>
      <c r="AR30" s="45">
        <f>AR27</f>
        <v>16</v>
      </c>
    </row>
    <row r="31" spans="2:47" x14ac:dyDescent="0.25">
      <c r="B31" s="2">
        <f t="shared" si="23"/>
        <v>196</v>
      </c>
      <c r="C31" s="2">
        <f t="shared" si="24"/>
        <v>206</v>
      </c>
      <c r="D31" s="2">
        <f t="shared" si="25"/>
        <v>197</v>
      </c>
      <c r="E31" s="2">
        <f t="shared" si="26"/>
        <v>206</v>
      </c>
      <c r="F31" s="2">
        <f t="shared" si="27"/>
        <v>192</v>
      </c>
      <c r="G31" s="2">
        <f t="shared" si="28"/>
        <v>197</v>
      </c>
      <c r="H31" s="2">
        <f t="shared" si="29"/>
        <v>199</v>
      </c>
      <c r="I31" s="2">
        <f t="shared" si="30"/>
        <v>207</v>
      </c>
      <c r="J31" s="2">
        <f t="shared" si="31"/>
        <v>197</v>
      </c>
      <c r="K31" s="2">
        <f t="shared" si="32"/>
        <v>204</v>
      </c>
      <c r="L31" s="2">
        <f t="shared" si="33"/>
        <v>199</v>
      </c>
      <c r="M31" s="2">
        <f t="shared" si="34"/>
        <v>196</v>
      </c>
      <c r="N31" s="2">
        <f t="shared" si="35"/>
        <v>203</v>
      </c>
      <c r="O31" s="2">
        <f t="shared" si="36"/>
        <v>206</v>
      </c>
      <c r="P31" s="2">
        <f t="shared" si="37"/>
        <v>200</v>
      </c>
      <c r="Q31" s="2">
        <f t="shared" si="38"/>
        <v>207</v>
      </c>
      <c r="R31" s="3">
        <f t="shared" si="2"/>
        <v>134</v>
      </c>
      <c r="S31" s="3">
        <f t="shared" si="3"/>
        <v>135</v>
      </c>
      <c r="T31" s="3">
        <f t="shared" si="4"/>
        <v>136</v>
      </c>
      <c r="U31" s="3">
        <f t="shared" si="5"/>
        <v>137</v>
      </c>
      <c r="V31" s="3">
        <f t="shared" si="6"/>
        <v>138</v>
      </c>
      <c r="W31" s="3">
        <f t="shared" si="7"/>
        <v>139</v>
      </c>
      <c r="X31" s="3">
        <f t="shared" si="8"/>
        <v>140</v>
      </c>
      <c r="Y31" s="3">
        <f t="shared" si="9"/>
        <v>141</v>
      </c>
      <c r="Z31" s="3">
        <f t="shared" si="10"/>
        <v>142</v>
      </c>
      <c r="AA31" s="3">
        <f t="shared" si="11"/>
        <v>143</v>
      </c>
      <c r="AB31" s="3">
        <f t="shared" si="12"/>
        <v>144</v>
      </c>
      <c r="AC31" s="3">
        <f t="shared" si="13"/>
        <v>145</v>
      </c>
      <c r="AD31" s="3">
        <f t="shared" si="14"/>
        <v>146</v>
      </c>
      <c r="AE31" s="3">
        <f t="shared" si="15"/>
        <v>147</v>
      </c>
      <c r="AF31" s="3">
        <f t="shared" si="16"/>
        <v>148</v>
      </c>
      <c r="AG31" s="3">
        <f t="shared" si="17"/>
        <v>149</v>
      </c>
      <c r="AI31" s="40">
        <f>_xlfn.FLOOR.MATH((ABS(AI25)*AO13+$AS$10)/2^$AU$10) * IF(AI25&gt;0, 1, -1)</f>
        <v>-590</v>
      </c>
      <c r="AJ31" s="40">
        <f t="shared" ref="AJ31:AL31" si="40">_xlfn.FLOOR.MATH((ABS(AJ25)*AP13+$AS$10)/2^$AU$10) * IF(AJ25&gt;0, 1, -1)</f>
        <v>-3</v>
      </c>
      <c r="AK31" s="40">
        <f t="shared" si="40"/>
        <v>-8</v>
      </c>
      <c r="AL31" s="40">
        <f t="shared" si="40"/>
        <v>1</v>
      </c>
      <c r="AO31" s="45">
        <f>AR27</f>
        <v>16</v>
      </c>
      <c r="AP31" s="45">
        <f>AQ27</f>
        <v>20</v>
      </c>
      <c r="AQ31" s="45">
        <f>AR27</f>
        <v>16</v>
      </c>
      <c r="AR31" s="45">
        <f>AQ27</f>
        <v>20</v>
      </c>
    </row>
    <row r="32" spans="2:47" x14ac:dyDescent="0.25">
      <c r="B32" s="2">
        <f t="shared" si="23"/>
        <v>228</v>
      </c>
      <c r="C32" s="2">
        <f t="shared" si="24"/>
        <v>238</v>
      </c>
      <c r="D32" s="2">
        <f t="shared" si="25"/>
        <v>229</v>
      </c>
      <c r="E32" s="2">
        <f t="shared" si="26"/>
        <v>238</v>
      </c>
      <c r="F32" s="2">
        <f t="shared" si="27"/>
        <v>224</v>
      </c>
      <c r="G32" s="2">
        <f t="shared" si="28"/>
        <v>229</v>
      </c>
      <c r="H32" s="2">
        <f t="shared" si="29"/>
        <v>231</v>
      </c>
      <c r="I32" s="2">
        <f t="shared" si="30"/>
        <v>239</v>
      </c>
      <c r="J32" s="2">
        <f t="shared" si="31"/>
        <v>229</v>
      </c>
      <c r="K32" s="2">
        <f t="shared" si="32"/>
        <v>236</v>
      </c>
      <c r="L32" s="2">
        <f t="shared" si="33"/>
        <v>231</v>
      </c>
      <c r="M32" s="2">
        <f t="shared" si="34"/>
        <v>228</v>
      </c>
      <c r="N32" s="2">
        <f t="shared" si="35"/>
        <v>235</v>
      </c>
      <c r="O32" s="2">
        <f t="shared" si="36"/>
        <v>238</v>
      </c>
      <c r="P32" s="2">
        <f t="shared" si="37"/>
        <v>232</v>
      </c>
      <c r="Q32" s="2">
        <f t="shared" si="38"/>
        <v>239</v>
      </c>
      <c r="R32" s="3">
        <f t="shared" si="2"/>
        <v>166</v>
      </c>
      <c r="S32" s="3">
        <f t="shared" si="3"/>
        <v>167</v>
      </c>
      <c r="T32" s="3">
        <f t="shared" si="4"/>
        <v>168</v>
      </c>
      <c r="U32" s="3">
        <f t="shared" si="5"/>
        <v>169</v>
      </c>
      <c r="V32" s="3">
        <f t="shared" si="6"/>
        <v>170</v>
      </c>
      <c r="W32" s="3">
        <f t="shared" si="7"/>
        <v>171</v>
      </c>
      <c r="X32" s="3">
        <f t="shared" si="8"/>
        <v>172</v>
      </c>
      <c r="Y32" s="3">
        <f t="shared" si="9"/>
        <v>173</v>
      </c>
      <c r="Z32" s="3">
        <f t="shared" si="10"/>
        <v>174</v>
      </c>
      <c r="AA32" s="3">
        <f t="shared" si="11"/>
        <v>175</v>
      </c>
      <c r="AB32" s="3">
        <f t="shared" si="12"/>
        <v>176</v>
      </c>
      <c r="AC32" s="3">
        <f t="shared" si="13"/>
        <v>177</v>
      </c>
      <c r="AD32" s="3">
        <f t="shared" si="14"/>
        <v>178</v>
      </c>
      <c r="AE32" s="3">
        <f t="shared" si="15"/>
        <v>179</v>
      </c>
      <c r="AF32" s="3">
        <f t="shared" si="16"/>
        <v>180</v>
      </c>
      <c r="AG32" s="3">
        <f t="shared" si="17"/>
        <v>181</v>
      </c>
      <c r="AI32" s="40">
        <f t="shared" ref="AI32:AI34" si="41">_xlfn.FLOOR.MATH((ABS(AI26)*AO14+$AS$10)/2^$AU$10) * IF(AI26&gt;0, 1, -1)</f>
        <v>1</v>
      </c>
      <c r="AJ32" s="40">
        <f t="shared" ref="AJ32:AJ34" si="42">_xlfn.FLOOR.MATH((ABS(AJ26)*AP14+$AS$10)/2^$AU$10) * IF(AJ26&gt;0, 1, -1)</f>
        <v>-5</v>
      </c>
      <c r="AK32" s="40">
        <f t="shared" ref="AK32:AK34" si="43">_xlfn.FLOOR.MATH((ABS(AK26)*AQ14+$AS$10)/2^$AU$10) * IF(AK26&gt;0, 1, -1)</f>
        <v>2</v>
      </c>
      <c r="AL32" s="40">
        <f t="shared" ref="AL32:AL34" si="44">_xlfn.FLOOR.MATH((ABS(AL26)*AR14+$AS$10)/2^$AU$10) * IF(AL26&gt;0, 1, -1)</f>
        <v>0</v>
      </c>
      <c r="AO32" s="45">
        <f>AP27</f>
        <v>13</v>
      </c>
      <c r="AP32" s="45">
        <f>AR27</f>
        <v>16</v>
      </c>
      <c r="AQ32" s="45">
        <f>AP27</f>
        <v>13</v>
      </c>
      <c r="AR32" s="45">
        <f>AR27</f>
        <v>16</v>
      </c>
    </row>
    <row r="33" spans="2:44" x14ac:dyDescent="0.25">
      <c r="B33" s="2">
        <f t="shared" si="23"/>
        <v>4</v>
      </c>
      <c r="C33" s="2">
        <f t="shared" si="24"/>
        <v>14</v>
      </c>
      <c r="D33" s="2">
        <f t="shared" si="25"/>
        <v>5</v>
      </c>
      <c r="E33" s="2">
        <f t="shared" si="26"/>
        <v>14</v>
      </c>
      <c r="F33" s="2">
        <f t="shared" si="27"/>
        <v>0</v>
      </c>
      <c r="G33" s="2">
        <f t="shared" si="28"/>
        <v>5</v>
      </c>
      <c r="H33" s="2">
        <f t="shared" si="29"/>
        <v>7</v>
      </c>
      <c r="I33" s="2">
        <f t="shared" si="30"/>
        <v>15</v>
      </c>
      <c r="J33" s="2">
        <f t="shared" si="31"/>
        <v>5</v>
      </c>
      <c r="K33" s="2">
        <f t="shared" si="32"/>
        <v>12</v>
      </c>
      <c r="L33" s="2">
        <f t="shared" si="33"/>
        <v>7</v>
      </c>
      <c r="M33" s="2">
        <f t="shared" si="34"/>
        <v>4</v>
      </c>
      <c r="N33" s="2">
        <f t="shared" si="35"/>
        <v>11</v>
      </c>
      <c r="O33" s="2">
        <f t="shared" si="36"/>
        <v>14</v>
      </c>
      <c r="P33" s="2">
        <f t="shared" si="37"/>
        <v>8</v>
      </c>
      <c r="Q33" s="2">
        <f t="shared" si="38"/>
        <v>15</v>
      </c>
      <c r="R33" s="3">
        <f t="shared" si="2"/>
        <v>198</v>
      </c>
      <c r="S33" s="3">
        <f t="shared" si="3"/>
        <v>199</v>
      </c>
      <c r="T33" s="3">
        <f t="shared" si="4"/>
        <v>200</v>
      </c>
      <c r="U33" s="3">
        <f t="shared" si="5"/>
        <v>201</v>
      </c>
      <c r="V33" s="3">
        <f t="shared" si="6"/>
        <v>202</v>
      </c>
      <c r="W33" s="3">
        <f t="shared" si="7"/>
        <v>203</v>
      </c>
      <c r="X33" s="3">
        <f t="shared" si="8"/>
        <v>204</v>
      </c>
      <c r="Y33" s="3">
        <f t="shared" si="9"/>
        <v>205</v>
      </c>
      <c r="Z33" s="3">
        <f t="shared" si="10"/>
        <v>206</v>
      </c>
      <c r="AA33" s="3">
        <f t="shared" si="11"/>
        <v>207</v>
      </c>
      <c r="AB33" s="3">
        <f t="shared" si="12"/>
        <v>208</v>
      </c>
      <c r="AC33" s="3">
        <f t="shared" si="13"/>
        <v>209</v>
      </c>
      <c r="AD33" s="3">
        <f t="shared" si="14"/>
        <v>210</v>
      </c>
      <c r="AE33" s="3">
        <f t="shared" si="15"/>
        <v>211</v>
      </c>
      <c r="AF33" s="3">
        <f t="shared" si="16"/>
        <v>212</v>
      </c>
      <c r="AG33" s="3">
        <f t="shared" si="17"/>
        <v>213</v>
      </c>
      <c r="AI33" s="40">
        <f t="shared" si="41"/>
        <v>1</v>
      </c>
      <c r="AJ33" s="40">
        <f t="shared" si="42"/>
        <v>2</v>
      </c>
      <c r="AK33" s="40">
        <f t="shared" si="43"/>
        <v>4</v>
      </c>
      <c r="AL33" s="40">
        <f t="shared" si="44"/>
        <v>-1</v>
      </c>
      <c r="AO33" s="45">
        <f>AR27</f>
        <v>16</v>
      </c>
      <c r="AP33" s="45">
        <f>AQ27</f>
        <v>20</v>
      </c>
      <c r="AQ33" s="45">
        <f>AR27</f>
        <v>16</v>
      </c>
      <c r="AR33" s="45">
        <f>AQ27</f>
        <v>20</v>
      </c>
    </row>
    <row r="34" spans="2:44" x14ac:dyDescent="0.25">
      <c r="AI34" s="40">
        <f t="shared" si="41"/>
        <v>0</v>
      </c>
      <c r="AJ34" s="40">
        <f t="shared" si="42"/>
        <v>-1</v>
      </c>
      <c r="AK34" s="40">
        <f t="shared" si="43"/>
        <v>0</v>
      </c>
      <c r="AL34" s="40">
        <f t="shared" si="44"/>
        <v>1</v>
      </c>
    </row>
    <row r="35" spans="2:44" x14ac:dyDescent="0.25">
      <c r="B35" s="18" t="s">
        <v>0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spans="2:44" x14ac:dyDescent="0.25">
      <c r="B36" s="4">
        <v>0</v>
      </c>
      <c r="C36" s="4"/>
      <c r="D36" s="4"/>
      <c r="E36" s="4"/>
      <c r="F36" s="4">
        <v>1</v>
      </c>
      <c r="G36" s="4"/>
      <c r="H36" s="4"/>
      <c r="I36" s="4"/>
      <c r="J36" s="4">
        <v>2</v>
      </c>
      <c r="K36" s="4"/>
      <c r="L36" s="4"/>
      <c r="M36" s="4"/>
      <c r="N36" s="4">
        <v>3</v>
      </c>
      <c r="O36" s="4"/>
      <c r="P36" s="4"/>
      <c r="Q36" s="4"/>
      <c r="R36" s="10">
        <v>4</v>
      </c>
      <c r="S36" s="11"/>
      <c r="T36" s="11"/>
      <c r="U36" s="12"/>
      <c r="V36" s="10">
        <v>5</v>
      </c>
      <c r="W36" s="11"/>
      <c r="X36" s="11"/>
      <c r="Y36" s="12"/>
      <c r="Z36" s="10">
        <v>6</v>
      </c>
      <c r="AA36" s="11"/>
      <c r="AB36" s="11"/>
      <c r="AC36" s="12"/>
      <c r="AD36" s="10">
        <v>7</v>
      </c>
      <c r="AE36" s="11"/>
      <c r="AF36" s="11"/>
      <c r="AG36" s="12"/>
      <c r="AI36" s="46" t="s">
        <v>23</v>
      </c>
      <c r="AJ36" s="46"/>
      <c r="AK36" s="46"/>
      <c r="AL36" s="46"/>
    </row>
    <row r="37" spans="2:44" x14ac:dyDescent="0.25">
      <c r="B37" s="13">
        <f>B36+8</f>
        <v>8</v>
      </c>
      <c r="C37" s="14"/>
      <c r="D37" s="14"/>
      <c r="E37" s="15"/>
      <c r="F37" s="13">
        <v>9</v>
      </c>
      <c r="G37" s="14"/>
      <c r="H37" s="14"/>
      <c r="I37" s="15"/>
      <c r="J37" s="13">
        <v>10</v>
      </c>
      <c r="K37" s="14"/>
      <c r="L37" s="14"/>
      <c r="M37" s="15"/>
      <c r="N37" s="13">
        <v>11</v>
      </c>
      <c r="O37" s="14"/>
      <c r="P37" s="14"/>
      <c r="Q37" s="1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I37" s="47">
        <f>AI31*AO30*2^(_xlfn.FLOOR.MATH($AN$8/6))</f>
        <v>-7670</v>
      </c>
      <c r="AJ37" s="47">
        <f t="shared" ref="AJ37:AL37" si="45">AJ31*AP30*2^(_xlfn.FLOOR.MATH($AN$8/6))</f>
        <v>-48</v>
      </c>
      <c r="AK37" s="47">
        <f t="shared" si="45"/>
        <v>-104</v>
      </c>
      <c r="AL37" s="47">
        <f t="shared" si="45"/>
        <v>16</v>
      </c>
    </row>
    <row r="38" spans="2:44" x14ac:dyDescent="0.25">
      <c r="B38" s="13">
        <f t="shared" ref="B38:B51" si="46">B37+8</f>
        <v>16</v>
      </c>
      <c r="C38" s="14"/>
      <c r="D38" s="14"/>
      <c r="E38" s="15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I38" s="47">
        <f t="shared" ref="AI38:AI40" si="47">AI32*AO31*2^(_xlfn.FLOOR.MATH($AN$8/6))</f>
        <v>16</v>
      </c>
      <c r="AJ38" s="47">
        <f t="shared" ref="AJ38:AJ40" si="48">AJ32*AP31*2^(_xlfn.FLOOR.MATH($AN$8/6))</f>
        <v>-100</v>
      </c>
      <c r="AK38" s="47">
        <f t="shared" ref="AK38:AK40" si="49">AK32*AQ31*2^(_xlfn.FLOOR.MATH($AN$8/6))</f>
        <v>32</v>
      </c>
      <c r="AL38" s="47">
        <f t="shared" ref="AL38:AL40" si="50">AL32*AR31*2^(_xlfn.FLOOR.MATH($AN$8/6))</f>
        <v>0</v>
      </c>
    </row>
    <row r="39" spans="2:44" x14ac:dyDescent="0.25">
      <c r="B39" s="13">
        <f t="shared" si="46"/>
        <v>24</v>
      </c>
      <c r="C39" s="14"/>
      <c r="D39" s="14"/>
      <c r="E39" s="15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I39" s="47">
        <f t="shared" si="47"/>
        <v>13</v>
      </c>
      <c r="AJ39" s="47">
        <f t="shared" si="48"/>
        <v>32</v>
      </c>
      <c r="AK39" s="47">
        <f t="shared" si="49"/>
        <v>52</v>
      </c>
      <c r="AL39" s="47">
        <f t="shared" si="50"/>
        <v>-16</v>
      </c>
    </row>
    <row r="40" spans="2:44" x14ac:dyDescent="0.25">
      <c r="B40" s="13">
        <f t="shared" si="46"/>
        <v>32</v>
      </c>
      <c r="C40" s="14"/>
      <c r="D40" s="14"/>
      <c r="E40" s="15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I40" s="47">
        <f t="shared" si="47"/>
        <v>0</v>
      </c>
      <c r="AJ40" s="47">
        <f t="shared" si="48"/>
        <v>-20</v>
      </c>
      <c r="AK40" s="47">
        <f t="shared" si="49"/>
        <v>0</v>
      </c>
      <c r="AL40" s="47">
        <f t="shared" si="50"/>
        <v>20</v>
      </c>
    </row>
    <row r="41" spans="2:44" x14ac:dyDescent="0.25">
      <c r="B41" s="13">
        <f t="shared" si="46"/>
        <v>40</v>
      </c>
      <c r="C41" s="14"/>
      <c r="D41" s="14"/>
      <c r="E41" s="15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2:44" x14ac:dyDescent="0.25">
      <c r="B42" s="13">
        <f t="shared" si="46"/>
        <v>48</v>
      </c>
      <c r="C42" s="14"/>
      <c r="D42" s="14"/>
      <c r="E42" s="1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I42" s="31">
        <f t="array" ref="AI42:AL45">MMULT(AI2:AL5,AI37:AL40)</f>
        <v>-7641</v>
      </c>
      <c r="AJ42" s="31">
        <v>-136</v>
      </c>
      <c r="AK42" s="31">
        <v>-20</v>
      </c>
      <c r="AL42" s="31">
        <v>20</v>
      </c>
    </row>
    <row r="43" spans="2:44" x14ac:dyDescent="0.25">
      <c r="B43" s="13">
        <f t="shared" si="46"/>
        <v>56</v>
      </c>
      <c r="C43" s="14"/>
      <c r="D43" s="14"/>
      <c r="E43" s="1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I43" s="31">
        <v>-7667</v>
      </c>
      <c r="AJ43" s="31">
        <v>-160</v>
      </c>
      <c r="AK43" s="31">
        <v>-124</v>
      </c>
      <c r="AL43" s="31">
        <v>12</v>
      </c>
    </row>
    <row r="44" spans="2:44" x14ac:dyDescent="0.25">
      <c r="B44" s="13">
        <f t="shared" si="46"/>
        <v>64</v>
      </c>
      <c r="C44" s="14"/>
      <c r="D44" s="14"/>
      <c r="E44" s="1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5"/>
      <c r="S44" s="5"/>
      <c r="T44" s="5"/>
      <c r="U44" s="5"/>
      <c r="V44" s="5"/>
      <c r="W44" s="5"/>
      <c r="X44" s="5"/>
      <c r="Y44" s="9"/>
      <c r="Z44" s="5"/>
      <c r="AA44" s="5"/>
      <c r="AB44" s="5"/>
      <c r="AC44" s="5"/>
      <c r="AD44" s="5"/>
      <c r="AE44" s="5"/>
      <c r="AF44" s="5"/>
      <c r="AG44" s="5"/>
      <c r="AI44" s="31">
        <v>-7699</v>
      </c>
      <c r="AJ44" s="31">
        <v>0</v>
      </c>
      <c r="AK44" s="31">
        <v>-188</v>
      </c>
      <c r="AL44" s="31">
        <v>52</v>
      </c>
    </row>
    <row r="45" spans="2:44" x14ac:dyDescent="0.25">
      <c r="B45" s="13">
        <f t="shared" si="46"/>
        <v>72</v>
      </c>
      <c r="C45" s="14"/>
      <c r="D45" s="14"/>
      <c r="E45" s="15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I45" s="31">
        <v>-7673</v>
      </c>
      <c r="AJ45" s="31">
        <v>104</v>
      </c>
      <c r="AK45" s="31">
        <v>-84</v>
      </c>
      <c r="AL45" s="31">
        <v>-20</v>
      </c>
    </row>
    <row r="46" spans="2:44" x14ac:dyDescent="0.25">
      <c r="B46" s="13">
        <f t="shared" si="46"/>
        <v>80</v>
      </c>
      <c r="C46" s="14"/>
      <c r="D46" s="14"/>
      <c r="E46" s="1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2:44" x14ac:dyDescent="0.25">
      <c r="B47" s="13">
        <f t="shared" si="46"/>
        <v>88</v>
      </c>
      <c r="C47" s="14"/>
      <c r="D47" s="14"/>
      <c r="E47" s="1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I47" s="48" t="s">
        <v>26</v>
      </c>
      <c r="AJ47" s="48"/>
      <c r="AK47" s="48"/>
      <c r="AL47" s="48"/>
    </row>
    <row r="48" spans="2:44" x14ac:dyDescent="0.25">
      <c r="B48" s="13">
        <f t="shared" si="46"/>
        <v>96</v>
      </c>
      <c r="C48" s="14"/>
      <c r="D48" s="14"/>
      <c r="E48" s="15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I48" s="49">
        <f t="array" ref="AI48:AL51">MMULT(AI42:AL45,AI2:AL5)</f>
        <v>-7777</v>
      </c>
      <c r="AJ48" s="49">
        <v>-7777</v>
      </c>
      <c r="AK48" s="49">
        <v>-7465</v>
      </c>
      <c r="AL48" s="49">
        <v>-7545</v>
      </c>
    </row>
    <row r="49" spans="2:38" x14ac:dyDescent="0.25">
      <c r="B49" s="13">
        <f t="shared" si="46"/>
        <v>104</v>
      </c>
      <c r="C49" s="14"/>
      <c r="D49" s="14"/>
      <c r="E49" s="1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I49" s="49">
        <v>-7939</v>
      </c>
      <c r="AJ49" s="49">
        <v>-7715</v>
      </c>
      <c r="AK49" s="49">
        <v>-7371</v>
      </c>
      <c r="AL49" s="49">
        <v>-7643</v>
      </c>
    </row>
    <row r="50" spans="2:38" x14ac:dyDescent="0.25">
      <c r="B50" s="13">
        <f t="shared" si="46"/>
        <v>112</v>
      </c>
      <c r="C50" s="14"/>
      <c r="D50" s="14"/>
      <c r="E50" s="15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I50" s="49">
        <v>-7835</v>
      </c>
      <c r="AJ50" s="49">
        <v>-7563</v>
      </c>
      <c r="AK50" s="49">
        <v>-7459</v>
      </c>
      <c r="AL50" s="49">
        <v>-7939</v>
      </c>
    </row>
    <row r="51" spans="2:38" x14ac:dyDescent="0.25">
      <c r="B51" s="13">
        <f t="shared" si="46"/>
        <v>120</v>
      </c>
      <c r="C51" s="14"/>
      <c r="D51" s="14"/>
      <c r="E51" s="15"/>
      <c r="F51" s="13">
        <v>121</v>
      </c>
      <c r="G51" s="14"/>
      <c r="H51" s="14"/>
      <c r="I51" s="15"/>
      <c r="J51" s="13">
        <v>122</v>
      </c>
      <c r="K51" s="14"/>
      <c r="L51" s="14"/>
      <c r="M51" s="15"/>
      <c r="N51" s="13">
        <v>123</v>
      </c>
      <c r="O51" s="14"/>
      <c r="P51" s="14"/>
      <c r="Q51" s="1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I51" s="49">
        <v>-7673</v>
      </c>
      <c r="AJ51" s="49">
        <v>-7465</v>
      </c>
      <c r="AK51" s="49">
        <v>-7713</v>
      </c>
      <c r="AL51" s="49">
        <v>-7841</v>
      </c>
    </row>
    <row r="52" spans="2:38" x14ac:dyDescent="0.25">
      <c r="B52" s="27">
        <v>128</v>
      </c>
      <c r="C52" s="28"/>
      <c r="D52" s="28"/>
      <c r="E52" s="29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spans="2:38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I53" s="50" t="s">
        <v>27</v>
      </c>
      <c r="AJ53" s="50"/>
      <c r="AK53" s="50"/>
      <c r="AL53" s="50"/>
    </row>
    <row r="54" spans="2:38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I54" s="51">
        <f>_xlfn.FLOOR.MATH(AI48/64)</f>
        <v>-122</v>
      </c>
      <c r="AJ54" s="51">
        <f>_xlfn.FLOOR.MATH(AJ48/64)</f>
        <v>-122</v>
      </c>
      <c r="AK54" s="51">
        <f>_xlfn.FLOOR.MATH(AK48/64)</f>
        <v>-117</v>
      </c>
      <c r="AL54" s="51">
        <f>_xlfn.FLOOR.MATH(AL48/64)</f>
        <v>-118</v>
      </c>
    </row>
    <row r="55" spans="2:38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I55" s="51">
        <f>_xlfn.FLOOR.MATH(AI49/64)</f>
        <v>-125</v>
      </c>
      <c r="AJ55" s="51">
        <f>_xlfn.FLOOR.MATH(AJ49/64)</f>
        <v>-121</v>
      </c>
      <c r="AK55" s="51">
        <f>_xlfn.FLOOR.MATH(AK49/64)</f>
        <v>-116</v>
      </c>
      <c r="AL55" s="51">
        <f>_xlfn.FLOOR.MATH(AL49/64)</f>
        <v>-120</v>
      </c>
    </row>
    <row r="56" spans="2:38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I56" s="51">
        <f>_xlfn.FLOOR.MATH(AI50/64)</f>
        <v>-123</v>
      </c>
      <c r="AJ56" s="51">
        <f>_xlfn.FLOOR.MATH(AJ50/64)</f>
        <v>-119</v>
      </c>
      <c r="AK56" s="51">
        <f>_xlfn.FLOOR.MATH(AK50/64)</f>
        <v>-117</v>
      </c>
      <c r="AL56" s="51">
        <f>_xlfn.FLOOR.MATH(AL50/64)</f>
        <v>-125</v>
      </c>
    </row>
    <row r="57" spans="2:38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I57" s="51">
        <f>_xlfn.FLOOR.MATH(AI51/64)</f>
        <v>-120</v>
      </c>
      <c r="AJ57" s="51">
        <f>_xlfn.FLOOR.MATH(AJ51/64)</f>
        <v>-117</v>
      </c>
      <c r="AK57" s="51">
        <f>_xlfn.FLOOR.MATH(AK51/64)</f>
        <v>-121</v>
      </c>
      <c r="AL57" s="51">
        <f>_xlfn.FLOOR.MATH(AL51/64)</f>
        <v>-123</v>
      </c>
    </row>
    <row r="58" spans="2:38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spans="2:38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I59" s="17" t="s">
        <v>28</v>
      </c>
      <c r="AJ59" s="17"/>
      <c r="AK59" s="17"/>
      <c r="AL59" s="17"/>
    </row>
    <row r="60" spans="2:38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I60">
        <f>AI54+$AN$7</f>
        <v>6</v>
      </c>
      <c r="AJ60">
        <f t="shared" ref="AJ60:AL60" si="51">AJ54+$AN$7</f>
        <v>6</v>
      </c>
      <c r="AK60">
        <f t="shared" si="51"/>
        <v>11</v>
      </c>
      <c r="AL60">
        <f t="shared" si="51"/>
        <v>10</v>
      </c>
    </row>
    <row r="61" spans="2:38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I61">
        <f t="shared" ref="AI61:AL61" si="52">AI55+$AN$7</f>
        <v>3</v>
      </c>
      <c r="AJ61">
        <f t="shared" si="52"/>
        <v>7</v>
      </c>
      <c r="AK61">
        <f t="shared" si="52"/>
        <v>12</v>
      </c>
      <c r="AL61">
        <f t="shared" si="52"/>
        <v>8</v>
      </c>
    </row>
    <row r="62" spans="2:38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I62">
        <f t="shared" ref="AI62:AL62" si="53">AI56+$AN$7</f>
        <v>5</v>
      </c>
      <c r="AJ62">
        <f t="shared" si="53"/>
        <v>9</v>
      </c>
      <c r="AK62">
        <f t="shared" si="53"/>
        <v>11</v>
      </c>
      <c r="AL62">
        <f t="shared" si="53"/>
        <v>3</v>
      </c>
    </row>
    <row r="63" spans="2:38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I63">
        <f t="shared" ref="AI63:AL63" si="54">AI57+$AN$7</f>
        <v>8</v>
      </c>
      <c r="AJ63">
        <f t="shared" si="54"/>
        <v>11</v>
      </c>
      <c r="AK63">
        <f t="shared" si="54"/>
        <v>7</v>
      </c>
      <c r="AL63">
        <f t="shared" si="54"/>
        <v>5</v>
      </c>
    </row>
    <row r="64" spans="2:38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spans="1:38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I65" s="17" t="s">
        <v>29</v>
      </c>
      <c r="AJ65" s="17"/>
      <c r="AK65" s="17"/>
      <c r="AL65" s="17"/>
    </row>
    <row r="66" spans="1:38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I66">
        <f>IF(AI60&lt;0,0,IF(AI60&gt;255,255,AI60))</f>
        <v>6</v>
      </c>
      <c r="AJ66">
        <f t="shared" ref="AJ66:AL66" si="55">IF(AJ60&lt;0,0,IF(AJ60&gt;255,255,AJ60))</f>
        <v>6</v>
      </c>
      <c r="AK66">
        <f t="shared" si="55"/>
        <v>11</v>
      </c>
      <c r="AL66">
        <f t="shared" si="55"/>
        <v>10</v>
      </c>
    </row>
    <row r="67" spans="1:38" x14ac:dyDescent="0.25">
      <c r="B67" s="27">
        <v>248</v>
      </c>
      <c r="C67" s="28"/>
      <c r="D67" s="28"/>
      <c r="E67" s="29"/>
      <c r="F67" s="27">
        <v>249</v>
      </c>
      <c r="G67" s="28"/>
      <c r="H67" s="28"/>
      <c r="I67" s="29"/>
      <c r="J67" s="27">
        <v>250</v>
      </c>
      <c r="K67" s="28"/>
      <c r="L67" s="28"/>
      <c r="M67" s="29"/>
      <c r="N67" s="27">
        <v>251</v>
      </c>
      <c r="O67" s="28"/>
      <c r="P67" s="28"/>
      <c r="Q67" s="29"/>
      <c r="R67" s="24">
        <v>252</v>
      </c>
      <c r="S67" s="25"/>
      <c r="T67" s="25"/>
      <c r="U67" s="26"/>
      <c r="V67" s="23">
        <v>253</v>
      </c>
      <c r="W67" s="23"/>
      <c r="X67" s="23"/>
      <c r="Y67" s="23"/>
      <c r="Z67" s="23">
        <v>254</v>
      </c>
      <c r="AA67" s="23"/>
      <c r="AB67" s="23"/>
      <c r="AC67" s="23"/>
      <c r="AD67" s="23">
        <v>255</v>
      </c>
      <c r="AE67" s="23"/>
      <c r="AF67" s="23"/>
      <c r="AG67" s="23"/>
      <c r="AI67">
        <f t="shared" ref="AI67:AL67" si="56">IF(AI61&lt;0,0,IF(AI61&gt;255,255,AI61))</f>
        <v>3</v>
      </c>
      <c r="AJ67">
        <f t="shared" si="56"/>
        <v>7</v>
      </c>
      <c r="AK67">
        <f t="shared" si="56"/>
        <v>12</v>
      </c>
      <c r="AL67">
        <f t="shared" si="56"/>
        <v>8</v>
      </c>
    </row>
    <row r="68" spans="1:38" x14ac:dyDescent="0.25">
      <c r="AI68">
        <f t="shared" ref="AI68:AL68" si="57">IF(AI62&lt;0,0,IF(AI62&gt;255,255,AI62))</f>
        <v>5</v>
      </c>
      <c r="AJ68">
        <f t="shared" si="57"/>
        <v>9</v>
      </c>
      <c r="AK68">
        <f t="shared" si="57"/>
        <v>11</v>
      </c>
      <c r="AL68">
        <f t="shared" si="57"/>
        <v>3</v>
      </c>
    </row>
    <row r="69" spans="1:38" x14ac:dyDescent="0.25">
      <c r="AI69">
        <f t="shared" ref="AI69:AL69" si="58">IF(AI63&lt;0,0,IF(AI63&gt;255,255,AI63))</f>
        <v>8</v>
      </c>
      <c r="AJ69">
        <f t="shared" si="58"/>
        <v>11</v>
      </c>
      <c r="AK69">
        <f t="shared" si="58"/>
        <v>7</v>
      </c>
      <c r="AL69">
        <f t="shared" si="58"/>
        <v>5</v>
      </c>
    </row>
    <row r="70" spans="1:38" x14ac:dyDescent="0.25">
      <c r="B70" s="17" t="s">
        <v>1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</row>
    <row r="71" spans="1:38" x14ac:dyDescent="0.25">
      <c r="B71">
        <v>0</v>
      </c>
      <c r="C71">
        <v>1</v>
      </c>
      <c r="D71">
        <v>2</v>
      </c>
      <c r="E71">
        <v>3</v>
      </c>
      <c r="F71">
        <v>4</v>
      </c>
      <c r="G71">
        <v>5</v>
      </c>
      <c r="H71">
        <v>6</v>
      </c>
      <c r="I71">
        <v>7</v>
      </c>
      <c r="J71">
        <v>8</v>
      </c>
      <c r="K71">
        <v>9</v>
      </c>
      <c r="L71">
        <v>10</v>
      </c>
      <c r="M71">
        <v>11</v>
      </c>
      <c r="N71">
        <v>12</v>
      </c>
      <c r="O71">
        <v>13</v>
      </c>
      <c r="P71">
        <v>14</v>
      </c>
      <c r="Q71">
        <v>15</v>
      </c>
    </row>
    <row r="72" spans="1:38" x14ac:dyDescent="0.25">
      <c r="A72">
        <v>0</v>
      </c>
      <c r="B72" s="19"/>
      <c r="C72" s="19"/>
      <c r="D72" s="19"/>
      <c r="E72" s="19"/>
      <c r="F72" s="20"/>
      <c r="G72" s="20"/>
      <c r="H72" s="20"/>
      <c r="I72" s="20"/>
      <c r="J72" s="21"/>
      <c r="K72" s="21"/>
      <c r="L72" s="21"/>
      <c r="M72" s="21"/>
      <c r="N72" s="20"/>
      <c r="O72" s="20"/>
      <c r="P72" s="20"/>
      <c r="Q72" s="20"/>
    </row>
    <row r="73" spans="1:38" x14ac:dyDescent="0.25">
      <c r="A73">
        <v>1</v>
      </c>
      <c r="B73" s="19"/>
      <c r="C73" s="19"/>
      <c r="D73" s="19"/>
      <c r="E73" s="19"/>
      <c r="F73" s="20"/>
      <c r="G73" s="20"/>
      <c r="H73" s="20"/>
      <c r="I73" s="20"/>
      <c r="J73" s="21"/>
      <c r="K73" s="21"/>
      <c r="L73" s="21"/>
      <c r="M73" s="21"/>
      <c r="N73" s="22"/>
      <c r="O73" s="20"/>
      <c r="P73" s="20"/>
      <c r="Q73" s="20"/>
    </row>
    <row r="74" spans="1:38" x14ac:dyDescent="0.25">
      <c r="A74">
        <v>2</v>
      </c>
      <c r="B74" s="19"/>
      <c r="C74" s="19"/>
      <c r="D74" s="19"/>
      <c r="E74" s="19"/>
      <c r="F74" s="20"/>
      <c r="G74" s="20"/>
      <c r="H74" s="20"/>
      <c r="I74" s="20"/>
      <c r="J74" s="21"/>
      <c r="K74" s="21"/>
      <c r="L74" s="21"/>
      <c r="M74" s="21"/>
      <c r="N74" s="20"/>
      <c r="O74" s="20"/>
      <c r="P74" s="20"/>
      <c r="Q74" s="20"/>
    </row>
    <row r="75" spans="1:38" x14ac:dyDescent="0.25">
      <c r="A75">
        <v>3</v>
      </c>
      <c r="B75" s="19"/>
      <c r="C75" s="19"/>
      <c r="D75" s="19"/>
      <c r="E75" s="19"/>
      <c r="F75" s="20"/>
      <c r="G75" s="20"/>
      <c r="H75" s="20"/>
      <c r="I75" s="20"/>
      <c r="J75" s="21"/>
      <c r="K75" s="21"/>
      <c r="L75" s="21"/>
      <c r="M75" s="21"/>
      <c r="N75" s="20"/>
      <c r="O75" s="20"/>
      <c r="P75" s="20"/>
      <c r="Q75" s="20"/>
    </row>
    <row r="76" spans="1:38" x14ac:dyDescent="0.25">
      <c r="A76">
        <v>4</v>
      </c>
      <c r="B76" s="20"/>
      <c r="C76" s="20"/>
      <c r="D76" s="20"/>
      <c r="E76" s="20"/>
      <c r="F76" s="21"/>
      <c r="G76" s="21"/>
      <c r="H76" s="21"/>
      <c r="I76" s="21"/>
      <c r="J76" s="20"/>
      <c r="K76" s="20"/>
      <c r="L76" s="20"/>
      <c r="M76" s="20"/>
      <c r="N76" s="21"/>
      <c r="O76" s="21"/>
      <c r="P76" s="21"/>
      <c r="Q76" s="21"/>
    </row>
    <row r="77" spans="1:38" x14ac:dyDescent="0.25">
      <c r="A77">
        <v>5</v>
      </c>
      <c r="B77" s="20"/>
      <c r="C77" s="20"/>
      <c r="D77" s="20"/>
      <c r="E77" s="20"/>
      <c r="F77" s="21"/>
      <c r="G77" s="21"/>
      <c r="H77" s="21"/>
      <c r="I77" s="21"/>
      <c r="J77" s="20"/>
      <c r="K77" s="20"/>
      <c r="L77" s="20"/>
      <c r="M77" s="20"/>
      <c r="N77" s="21"/>
      <c r="O77" s="21"/>
      <c r="P77" s="21"/>
      <c r="Q77" s="21"/>
    </row>
    <row r="78" spans="1:38" x14ac:dyDescent="0.25">
      <c r="A78">
        <v>6</v>
      </c>
      <c r="B78" s="20"/>
      <c r="C78" s="20"/>
      <c r="D78" s="20"/>
      <c r="E78" s="20"/>
      <c r="F78" s="21"/>
      <c r="G78" s="21"/>
      <c r="H78" s="21"/>
      <c r="I78" s="21"/>
      <c r="J78" s="20"/>
      <c r="K78" s="20"/>
      <c r="L78" s="20"/>
      <c r="M78" s="20"/>
      <c r="N78" s="21"/>
      <c r="O78" s="21"/>
      <c r="P78" s="21"/>
      <c r="Q78" s="21"/>
    </row>
    <row r="79" spans="1:38" x14ac:dyDescent="0.25">
      <c r="A79">
        <v>7</v>
      </c>
      <c r="B79" s="20"/>
      <c r="C79" s="20"/>
      <c r="D79" s="20"/>
      <c r="E79" s="20"/>
      <c r="F79" s="21"/>
      <c r="G79" s="21"/>
      <c r="H79" s="21"/>
      <c r="I79" s="21"/>
      <c r="J79" s="20"/>
      <c r="K79" s="20"/>
      <c r="L79" s="20"/>
      <c r="M79" s="20"/>
      <c r="N79" s="21"/>
      <c r="O79" s="21"/>
      <c r="P79" s="21"/>
      <c r="Q79" s="21"/>
    </row>
    <row r="80" spans="1:38" x14ac:dyDescent="0.25">
      <c r="A80">
        <v>8</v>
      </c>
      <c r="B80" s="21"/>
      <c r="C80" s="21"/>
      <c r="D80" s="21"/>
      <c r="E80" s="21"/>
      <c r="F80" s="20"/>
      <c r="G80" s="20"/>
      <c r="H80" s="20"/>
      <c r="I80" s="20"/>
      <c r="J80" s="21"/>
      <c r="K80" s="21"/>
      <c r="L80" s="21"/>
      <c r="M80" s="21"/>
      <c r="N80" s="20"/>
      <c r="O80" s="20"/>
      <c r="P80" s="20"/>
      <c r="Q80" s="20"/>
    </row>
    <row r="81" spans="1:17" x14ac:dyDescent="0.25">
      <c r="A81">
        <v>9</v>
      </c>
      <c r="B81" s="21"/>
      <c r="C81" s="21"/>
      <c r="D81" s="21"/>
      <c r="E81" s="21"/>
      <c r="F81" s="20"/>
      <c r="G81" s="20"/>
      <c r="H81" s="20"/>
      <c r="I81" s="20"/>
      <c r="J81" s="21"/>
      <c r="K81" s="21"/>
      <c r="L81" s="21"/>
      <c r="M81" s="21"/>
      <c r="N81" s="20"/>
      <c r="O81" s="20"/>
      <c r="P81" s="20"/>
      <c r="Q81" s="20"/>
    </row>
    <row r="82" spans="1:17" x14ac:dyDescent="0.25">
      <c r="A82">
        <v>10</v>
      </c>
      <c r="B82" s="21"/>
      <c r="C82" s="21"/>
      <c r="D82" s="21"/>
      <c r="E82" s="21"/>
      <c r="F82" s="20"/>
      <c r="G82" s="20"/>
      <c r="H82" s="20"/>
      <c r="I82" s="20"/>
      <c r="J82" s="21"/>
      <c r="K82" s="21"/>
      <c r="L82" s="21"/>
      <c r="M82" s="21"/>
      <c r="N82" s="20"/>
      <c r="O82" s="20"/>
      <c r="P82" s="20"/>
      <c r="Q82" s="20"/>
    </row>
    <row r="83" spans="1:17" x14ac:dyDescent="0.25">
      <c r="A83">
        <v>11</v>
      </c>
      <c r="B83" s="21"/>
      <c r="C83" s="21"/>
      <c r="D83" s="21"/>
      <c r="E83" s="21"/>
      <c r="F83" s="20"/>
      <c r="G83" s="20"/>
      <c r="H83" s="20"/>
      <c r="I83" s="20"/>
      <c r="J83" s="21"/>
      <c r="K83" s="21"/>
      <c r="L83" s="21"/>
      <c r="M83" s="21"/>
      <c r="N83" s="20"/>
      <c r="O83" s="20"/>
      <c r="P83" s="20"/>
      <c r="Q83" s="20"/>
    </row>
    <row r="84" spans="1:17" x14ac:dyDescent="0.25">
      <c r="A84">
        <v>12</v>
      </c>
      <c r="B84" s="20"/>
      <c r="C84" s="20"/>
      <c r="D84" s="20"/>
      <c r="E84" s="20"/>
      <c r="F84" s="21"/>
      <c r="G84" s="21"/>
      <c r="H84" s="21"/>
      <c r="I84" s="21"/>
      <c r="J84" s="20"/>
      <c r="K84" s="20"/>
      <c r="L84" s="20"/>
      <c r="M84" s="20"/>
      <c r="N84" s="21"/>
      <c r="O84" s="21"/>
      <c r="P84" s="21"/>
      <c r="Q84" s="21"/>
    </row>
    <row r="85" spans="1:17" x14ac:dyDescent="0.25">
      <c r="A85">
        <v>13</v>
      </c>
      <c r="B85" s="20"/>
      <c r="C85" s="20"/>
      <c r="D85" s="20"/>
      <c r="E85" s="20"/>
      <c r="F85" s="21"/>
      <c r="G85" s="21"/>
      <c r="H85" s="21"/>
      <c r="I85" s="21"/>
      <c r="J85" s="20"/>
      <c r="K85" s="20"/>
      <c r="L85" s="20"/>
      <c r="M85" s="20"/>
      <c r="N85" s="21"/>
      <c r="O85" s="21"/>
      <c r="P85" s="21"/>
      <c r="Q85" s="21"/>
    </row>
    <row r="86" spans="1:17" x14ac:dyDescent="0.25">
      <c r="A86">
        <v>14</v>
      </c>
      <c r="B86" s="20"/>
      <c r="C86" s="20"/>
      <c r="D86" s="20"/>
      <c r="E86" s="20"/>
      <c r="F86" s="21"/>
      <c r="G86" s="21"/>
      <c r="H86" s="21"/>
      <c r="I86" s="21"/>
      <c r="J86" s="20"/>
      <c r="K86" s="20"/>
      <c r="L86" s="20"/>
      <c r="M86" s="20"/>
      <c r="N86" s="21"/>
      <c r="O86" s="21"/>
      <c r="P86" s="21"/>
      <c r="Q86" s="21"/>
    </row>
    <row r="87" spans="1:17" x14ac:dyDescent="0.25">
      <c r="A87">
        <v>15</v>
      </c>
      <c r="B87" s="20"/>
      <c r="C87" s="20"/>
      <c r="D87" s="20"/>
      <c r="E87" s="20"/>
      <c r="F87" s="21"/>
      <c r="G87" s="21"/>
      <c r="H87" s="21"/>
      <c r="I87" s="21"/>
      <c r="J87" s="20"/>
      <c r="K87" s="20"/>
      <c r="L87" s="20"/>
      <c r="M87" s="20"/>
      <c r="N87" s="21"/>
      <c r="O87" s="21"/>
      <c r="P87" s="21"/>
      <c r="Q87" s="21"/>
    </row>
  </sheetData>
  <mergeCells count="52">
    <mergeCell ref="AI53:AL53"/>
    <mergeCell ref="AI59:AL59"/>
    <mergeCell ref="AI65:AL65"/>
    <mergeCell ref="AD67:AG67"/>
    <mergeCell ref="AO1:AR1"/>
    <mergeCell ref="AS1:AT1"/>
    <mergeCell ref="AI24:AL24"/>
    <mergeCell ref="AI30:AL30"/>
    <mergeCell ref="AO12:AR12"/>
    <mergeCell ref="AI36:AL36"/>
    <mergeCell ref="AO18:AR18"/>
    <mergeCell ref="AO29:AR29"/>
    <mergeCell ref="AI47:AL47"/>
    <mergeCell ref="B67:E67"/>
    <mergeCell ref="B52:E52"/>
    <mergeCell ref="F67:I67"/>
    <mergeCell ref="J67:M67"/>
    <mergeCell ref="N67:Q67"/>
    <mergeCell ref="R67:U67"/>
    <mergeCell ref="V67:Y67"/>
    <mergeCell ref="Z67:AC67"/>
    <mergeCell ref="B45:E45"/>
    <mergeCell ref="B35:AG35"/>
    <mergeCell ref="B70:Q70"/>
    <mergeCell ref="F37:I37"/>
    <mergeCell ref="J37:M37"/>
    <mergeCell ref="N37:Q37"/>
    <mergeCell ref="F51:I51"/>
    <mergeCell ref="J51:M51"/>
    <mergeCell ref="N51:Q51"/>
    <mergeCell ref="B41:E41"/>
    <mergeCell ref="B42:E42"/>
    <mergeCell ref="B43:E43"/>
    <mergeCell ref="B51:E51"/>
    <mergeCell ref="B50:E50"/>
    <mergeCell ref="B49:E49"/>
    <mergeCell ref="B48:E48"/>
    <mergeCell ref="B47:E47"/>
    <mergeCell ref="B46:E46"/>
    <mergeCell ref="B44:E44"/>
    <mergeCell ref="Z36:AC36"/>
    <mergeCell ref="AD36:AG36"/>
    <mergeCell ref="B37:E37"/>
    <mergeCell ref="B38:E38"/>
    <mergeCell ref="B39:E39"/>
    <mergeCell ref="B40:E40"/>
    <mergeCell ref="B36:E36"/>
    <mergeCell ref="F36:I36"/>
    <mergeCell ref="J36:M36"/>
    <mergeCell ref="N36:Q36"/>
    <mergeCell ref="R36:U36"/>
    <mergeCell ref="V36:Y36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kcy</dc:creator>
  <cp:lastModifiedBy>kcy</cp:lastModifiedBy>
  <dcterms:created xsi:type="dcterms:W3CDTF">2025-10-10T07:06:15Z</dcterms:created>
  <dcterms:modified xsi:type="dcterms:W3CDTF">2025-10-11T07:36:38Z</dcterms:modified>
</cp:coreProperties>
</file>